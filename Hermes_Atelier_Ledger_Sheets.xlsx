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– Client Intelligence" sheetId="1" r:id="rId5"/>
    <sheet state="visible" name="II – Craftsman Output" sheetId="2" r:id="rId6"/>
    <sheet state="visible" name="III – Margin Analysis" sheetId="3" r:id="rId7"/>
    <sheet state="visible" name="IV – Revenue &amp; Growth" sheetId="4" r:id="rId8"/>
  </sheets>
  <definedNames/>
  <calcPr/>
</workbook>
</file>

<file path=xl/sharedStrings.xml><?xml version="1.0" encoding="utf-8"?>
<sst xmlns="http://schemas.openxmlformats.org/spreadsheetml/2006/main" count="124" uniqueCount="92">
  <si>
    <t>Client Name</t>
  </si>
  <si>
    <t>Client Tier</t>
  </si>
  <si>
    <t>Country</t>
  </si>
  <si>
    <t>Total Orders</t>
  </si>
  <si>
    <t>Total Sales (fr)</t>
  </si>
  <si>
    <t>Avg Order Value (fr)</t>
  </si>
  <si>
    <t>% of Revenue</t>
  </si>
  <si>
    <t>Tier Rank</t>
  </si>
  <si>
    <t>Spend Rank</t>
  </si>
  <si>
    <t>Comte de Paris</t>
  </si>
  <si>
    <t>Royalty</t>
  </si>
  <si>
    <t>France</t>
  </si>
  <si>
    <t>Archduke Franz Karl</t>
  </si>
  <si>
    <t>Austria</t>
  </si>
  <si>
    <t>Prince Anatole Demidoff</t>
  </si>
  <si>
    <t>Russia</t>
  </si>
  <si>
    <t>Prince Napoleon Joseph</t>
  </si>
  <si>
    <t>Marquis de Gallifet</t>
  </si>
  <si>
    <t>Nobility</t>
  </si>
  <si>
    <t>Duc de Morny</t>
  </si>
  <si>
    <t>General Otto von Bismarck</t>
  </si>
  <si>
    <t>Military</t>
  </si>
  <si>
    <t>Prussia</t>
  </si>
  <si>
    <t>Prince Georges Stirbey</t>
  </si>
  <si>
    <t>Romania</t>
  </si>
  <si>
    <t>Comte de Montesquieu</t>
  </si>
  <si>
    <t>Lord Ashburton</t>
  </si>
  <si>
    <t>United Kingdom</t>
  </si>
  <si>
    <t>Baron de Zuloaga</t>
  </si>
  <si>
    <t>Spain</t>
  </si>
  <si>
    <t>Baron von Rothschild</t>
  </si>
  <si>
    <t>Baronne de Stael</t>
  </si>
  <si>
    <t>Madame de Pompadour-Levy</t>
  </si>
  <si>
    <t>Bourgeoisie</t>
  </si>
  <si>
    <t>Vicomte de Lesseps</t>
  </si>
  <si>
    <t>Capitaine Rene Duvivier</t>
  </si>
  <si>
    <t>General Henri Baraguey</t>
  </si>
  <si>
    <t>Monsieur Edouard Delessert</t>
  </si>
  <si>
    <t>Monsieur Gustave Caillebotte</t>
  </si>
  <si>
    <t>Colonel James Pemberton</t>
  </si>
  <si>
    <t>Craftsman</t>
  </si>
  <si>
    <t>Specialty</t>
  </si>
  <si>
    <t>Joined Year</t>
  </si>
  <si>
    <t>Total Revenue (fr)</t>
  </si>
  <si>
    <t>Total Labour Days</t>
  </si>
  <si>
    <t>Revenue/Days (fr)</t>
  </si>
  <si>
    <t>% of Atelier Revenue</t>
  </si>
  <si>
    <t>Thierry Hermes</t>
  </si>
  <si>
    <t>Master Saddler &amp; Harness Maker</t>
  </si>
  <si>
    <t>Henri Beaumont</t>
  </si>
  <si>
    <t>Gilding &amp; Metal Fittings</t>
  </si>
  <si>
    <t>Charles Dupont</t>
  </si>
  <si>
    <t>Bridle &amp; Bit Specialist</t>
  </si>
  <si>
    <t>Auguste Renard</t>
  </si>
  <si>
    <t>Leather Carving &amp; Tooling</t>
  </si>
  <si>
    <t>Joseph Mercier</t>
  </si>
  <si>
    <t>Stitching &amp; Assembly</t>
  </si>
  <si>
    <t>Pierre Delacroix</t>
  </si>
  <si>
    <t>Pattern Making &amp; Cutting</t>
  </si>
  <si>
    <t>Gustave Morel</t>
  </si>
  <si>
    <t>Bridle &amp; Collar Work</t>
  </si>
  <si>
    <t>Emile Fontaine</t>
  </si>
  <si>
    <t>Trunk &amp; Travel Goods</t>
  </si>
  <si>
    <t>Francois Lamarre</t>
  </si>
  <si>
    <t>Harness Painting &amp; Lacquer</t>
  </si>
  <si>
    <t>Product Type</t>
  </si>
  <si>
    <t>Avg Sale Price (fr)</t>
  </si>
  <si>
    <t>Avg Material Cost (fr)</t>
  </si>
  <si>
    <t>Avg Gross Margin (fr)</t>
  </si>
  <si>
    <t>Avg Margin %</t>
  </si>
  <si>
    <t>Margin Tier</t>
  </si>
  <si>
    <t>Carved Dispatch Satchel</t>
  </si>
  <si>
    <t>Presentation Bridle</t>
  </si>
  <si>
    <t>Hunting Saddle</t>
  </si>
  <si>
    <t>Embossed Leather Portfolio</t>
  </si>
  <si>
    <t>Gentleman Riding Kit</t>
  </si>
  <si>
    <t>Full Dress Harness</t>
  </si>
  <si>
    <t>Bespoke Hunt Seat Saddle</t>
  </si>
  <si>
    <t>Ladies Riding Habit Set</t>
  </si>
  <si>
    <t>Hunting Bridle Set</t>
  </si>
  <si>
    <t>Royal Presentation Saddle</t>
  </si>
  <si>
    <t>Grand Parade Harness</t>
  </si>
  <si>
    <t>Officer Field Saddle</t>
  </si>
  <si>
    <t>Travel Trunk Set</t>
  </si>
  <si>
    <t>Spanish Court Harness</t>
  </si>
  <si>
    <t>Silver Presentation Bridle</t>
  </si>
  <si>
    <t>Order Year</t>
  </si>
  <si>
    <t>Annual Revenue (fr)</t>
  </si>
  <si>
    <t>Prev Year Revenue (fr)</t>
  </si>
  <si>
    <t>Cumulative Revenue (fr)</t>
  </si>
  <si>
    <t>YoY Growth %</t>
  </si>
  <si>
    <t>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</si>
</sst>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9">
    <dxf>
      <font/>
      <fill>
        <patternFill patternType="solid">
          <fgColor rgb="FFD4C5F0"/>
          <bgColor rgb="FFD4C5F0"/>
        </patternFill>
      </fill>
      <border/>
    </dxf>
    <dxf>
      <font/>
      <fill>
        <patternFill patternType="solid">
          <fgColor rgb="FFF5E4B0"/>
          <bgColor rgb="FFF5E4B0"/>
        </patternFill>
      </fill>
      <border/>
    </dxf>
    <dxf>
      <font/>
      <fill>
        <patternFill patternType="solid">
          <fgColor rgb="FFB8DFC8"/>
          <bgColor rgb="FFB8DFC8"/>
        </patternFill>
      </fill>
      <border/>
    </dxf>
    <dxf>
      <font/>
      <fill>
        <patternFill patternType="solid">
          <fgColor rgb="FFC8D8E8"/>
          <bgColor rgb="FFC8D8E8"/>
        </patternFill>
      </fill>
      <border/>
    </dxf>
    <dxf>
      <font/>
      <fill>
        <patternFill patternType="solid">
          <fgColor rgb="FFF5E4B8"/>
          <bgColor rgb="FFF5E4B8"/>
        </patternFill>
      </fill>
      <border/>
    </dxf>
    <dxf>
      <font/>
      <fill>
        <patternFill patternType="solid">
          <fgColor rgb="FFF5E6A3"/>
          <bgColor rgb="FFF5E6A3"/>
        </patternFill>
      </fill>
      <border/>
    </dxf>
    <dxf>
      <font/>
      <fill>
        <patternFill patternType="solid">
          <fgColor rgb="FFA8D5B5"/>
          <bgColor rgb="FFA8D5B5"/>
        </patternFill>
      </fill>
      <border/>
    </dxf>
    <dxf>
      <font/>
      <fill>
        <patternFill patternType="solid">
          <fgColor rgb="FFA8C4E8"/>
          <bgColor rgb="FFA8C4E8"/>
        </patternFill>
      </fill>
      <border/>
    </dxf>
    <dxf>
      <font/>
      <fill>
        <patternFill patternType="solid">
          <fgColor rgb="FFF5B8A0"/>
          <bgColor rgb="FFF5B8A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>
        <v>2.0</v>
      </c>
      <c r="E2" s="3">
        <v>5500.0</v>
      </c>
      <c r="F2" s="4">
        <f t="shared" ref="F2:F21" si="1">E2/D2
</f>
        <v>2750</v>
      </c>
      <c r="G2" s="4">
        <f t="shared" ref="G2:G21" si="2">ROUND((E2/SUM($E$2:$E$21))*100,2)</f>
        <v>17.74</v>
      </c>
      <c r="H2" s="4">
        <f t="shared" ref="H2:H21" si="3">COUNTIFS($B$2:$B$21, B2, $E$2:$E$21, "&gt;"&amp;E2) + 1</f>
        <v>1</v>
      </c>
      <c r="I2" s="4">
        <f t="shared" ref="I2:I21" si="4">RANK(E2,$E$2:$E$21,0)</f>
        <v>1</v>
      </c>
    </row>
    <row r="3">
      <c r="A3" s="3" t="s">
        <v>12</v>
      </c>
      <c r="B3" s="3" t="s">
        <v>10</v>
      </c>
      <c r="C3" s="3" t="s">
        <v>13</v>
      </c>
      <c r="D3" s="3">
        <v>2.0</v>
      </c>
      <c r="E3" s="3">
        <v>3720.0</v>
      </c>
      <c r="F3" s="4">
        <f t="shared" si="1"/>
        <v>1860</v>
      </c>
      <c r="G3" s="4">
        <f t="shared" si="2"/>
        <v>12</v>
      </c>
      <c r="H3" s="4">
        <f t="shared" si="3"/>
        <v>2</v>
      </c>
      <c r="I3" s="4">
        <f t="shared" si="4"/>
        <v>2</v>
      </c>
    </row>
    <row r="4">
      <c r="A4" s="3" t="s">
        <v>14</v>
      </c>
      <c r="B4" s="3" t="s">
        <v>10</v>
      </c>
      <c r="C4" s="3" t="s">
        <v>15</v>
      </c>
      <c r="D4" s="3">
        <v>2.0</v>
      </c>
      <c r="E4" s="3">
        <v>3600.0</v>
      </c>
      <c r="F4" s="4">
        <f t="shared" si="1"/>
        <v>1800</v>
      </c>
      <c r="G4" s="4">
        <f t="shared" si="2"/>
        <v>11.61</v>
      </c>
      <c r="H4" s="4">
        <f t="shared" si="3"/>
        <v>3</v>
      </c>
      <c r="I4" s="4">
        <f t="shared" si="4"/>
        <v>3</v>
      </c>
    </row>
    <row r="5">
      <c r="A5" s="3" t="s">
        <v>16</v>
      </c>
      <c r="B5" s="3" t="s">
        <v>10</v>
      </c>
      <c r="C5" s="3" t="s">
        <v>11</v>
      </c>
      <c r="D5" s="3">
        <v>2.0</v>
      </c>
      <c r="E5" s="3">
        <v>2770.0</v>
      </c>
      <c r="F5" s="4">
        <f t="shared" si="1"/>
        <v>1385</v>
      </c>
      <c r="G5" s="4">
        <f t="shared" si="2"/>
        <v>8.93</v>
      </c>
      <c r="H5" s="4">
        <f t="shared" si="3"/>
        <v>4</v>
      </c>
      <c r="I5" s="4">
        <f t="shared" si="4"/>
        <v>4</v>
      </c>
    </row>
    <row r="6">
      <c r="A6" s="3" t="s">
        <v>17</v>
      </c>
      <c r="B6" s="3" t="s">
        <v>18</v>
      </c>
      <c r="C6" s="3" t="s">
        <v>11</v>
      </c>
      <c r="D6" s="3">
        <v>2.0</v>
      </c>
      <c r="E6" s="3">
        <v>1880.0</v>
      </c>
      <c r="F6" s="4">
        <f t="shared" si="1"/>
        <v>940</v>
      </c>
      <c r="G6" s="4">
        <f t="shared" si="2"/>
        <v>6.06</v>
      </c>
      <c r="H6" s="4">
        <f t="shared" si="3"/>
        <v>1</v>
      </c>
      <c r="I6" s="4">
        <f t="shared" si="4"/>
        <v>5</v>
      </c>
    </row>
    <row r="7">
      <c r="A7" s="3" t="s">
        <v>19</v>
      </c>
      <c r="B7" s="3" t="s">
        <v>18</v>
      </c>
      <c r="C7" s="3" t="s">
        <v>11</v>
      </c>
      <c r="D7" s="3">
        <v>2.0</v>
      </c>
      <c r="E7" s="3">
        <v>1820.0</v>
      </c>
      <c r="F7" s="4">
        <f t="shared" si="1"/>
        <v>910</v>
      </c>
      <c r="G7" s="4">
        <f t="shared" si="2"/>
        <v>5.87</v>
      </c>
      <c r="H7" s="4">
        <f t="shared" si="3"/>
        <v>2</v>
      </c>
      <c r="I7" s="4">
        <f t="shared" si="4"/>
        <v>6</v>
      </c>
    </row>
    <row r="8">
      <c r="A8" s="3" t="s">
        <v>20</v>
      </c>
      <c r="B8" s="3" t="s">
        <v>21</v>
      </c>
      <c r="C8" s="3" t="s">
        <v>22</v>
      </c>
      <c r="D8" s="3">
        <v>2.0</v>
      </c>
      <c r="E8" s="3">
        <v>1780.0</v>
      </c>
      <c r="F8" s="4">
        <f t="shared" si="1"/>
        <v>890</v>
      </c>
      <c r="G8" s="4">
        <f t="shared" si="2"/>
        <v>5.74</v>
      </c>
      <c r="H8" s="4">
        <f t="shared" si="3"/>
        <v>1</v>
      </c>
      <c r="I8" s="4">
        <f t="shared" si="4"/>
        <v>7</v>
      </c>
    </row>
    <row r="9">
      <c r="A9" s="3" t="s">
        <v>23</v>
      </c>
      <c r="B9" s="3" t="s">
        <v>10</v>
      </c>
      <c r="C9" s="3" t="s">
        <v>24</v>
      </c>
      <c r="D9" s="3">
        <v>1.0</v>
      </c>
      <c r="E9" s="3">
        <v>1780.0</v>
      </c>
      <c r="F9" s="4">
        <f t="shared" si="1"/>
        <v>1780</v>
      </c>
      <c r="G9" s="4">
        <f t="shared" si="2"/>
        <v>5.74</v>
      </c>
      <c r="H9" s="4">
        <f t="shared" si="3"/>
        <v>5</v>
      </c>
      <c r="I9" s="4">
        <f t="shared" si="4"/>
        <v>7</v>
      </c>
    </row>
    <row r="10">
      <c r="A10" s="3" t="s">
        <v>25</v>
      </c>
      <c r="B10" s="3" t="s">
        <v>18</v>
      </c>
      <c r="C10" s="3" t="s">
        <v>11</v>
      </c>
      <c r="D10" s="3">
        <v>2.0</v>
      </c>
      <c r="E10" s="3">
        <v>1300.0</v>
      </c>
      <c r="F10" s="4">
        <f t="shared" si="1"/>
        <v>650</v>
      </c>
      <c r="G10" s="4">
        <f t="shared" si="2"/>
        <v>4.19</v>
      </c>
      <c r="H10" s="4">
        <f t="shared" si="3"/>
        <v>3</v>
      </c>
      <c r="I10" s="4">
        <f t="shared" si="4"/>
        <v>9</v>
      </c>
    </row>
    <row r="11">
      <c r="A11" s="3" t="s">
        <v>26</v>
      </c>
      <c r="B11" s="3" t="s">
        <v>18</v>
      </c>
      <c r="C11" s="3" t="s">
        <v>27</v>
      </c>
      <c r="D11" s="3">
        <v>2.0</v>
      </c>
      <c r="E11" s="3">
        <v>1130.0</v>
      </c>
      <c r="F11" s="4">
        <f t="shared" si="1"/>
        <v>565</v>
      </c>
      <c r="G11" s="4">
        <f t="shared" si="2"/>
        <v>3.64</v>
      </c>
      <c r="H11" s="4">
        <f t="shared" si="3"/>
        <v>4</v>
      </c>
      <c r="I11" s="4">
        <f t="shared" si="4"/>
        <v>10</v>
      </c>
    </row>
    <row r="12">
      <c r="A12" s="3" t="s">
        <v>28</v>
      </c>
      <c r="B12" s="3" t="s">
        <v>18</v>
      </c>
      <c r="C12" s="3" t="s">
        <v>29</v>
      </c>
      <c r="D12" s="3">
        <v>1.0</v>
      </c>
      <c r="E12" s="3">
        <v>1100.0</v>
      </c>
      <c r="F12" s="4">
        <f t="shared" si="1"/>
        <v>1100</v>
      </c>
      <c r="G12" s="4">
        <f t="shared" si="2"/>
        <v>3.55</v>
      </c>
      <c r="H12" s="4">
        <f t="shared" si="3"/>
        <v>5</v>
      </c>
      <c r="I12" s="4">
        <f t="shared" si="4"/>
        <v>11</v>
      </c>
    </row>
    <row r="13">
      <c r="A13" s="3" t="s">
        <v>30</v>
      </c>
      <c r="B13" s="3" t="s">
        <v>18</v>
      </c>
      <c r="C13" s="3" t="s">
        <v>22</v>
      </c>
      <c r="D13" s="3">
        <v>2.0</v>
      </c>
      <c r="E13" s="3">
        <v>780.0</v>
      </c>
      <c r="F13" s="4">
        <f t="shared" si="1"/>
        <v>390</v>
      </c>
      <c r="G13" s="4">
        <f t="shared" si="2"/>
        <v>2.52</v>
      </c>
      <c r="H13" s="4">
        <f t="shared" si="3"/>
        <v>6</v>
      </c>
      <c r="I13" s="4">
        <f t="shared" si="4"/>
        <v>12</v>
      </c>
    </row>
    <row r="14">
      <c r="A14" s="3" t="s">
        <v>31</v>
      </c>
      <c r="B14" s="3" t="s">
        <v>18</v>
      </c>
      <c r="C14" s="3" t="s">
        <v>11</v>
      </c>
      <c r="D14" s="3">
        <v>1.0</v>
      </c>
      <c r="E14" s="3">
        <v>490.0</v>
      </c>
      <c r="F14" s="4">
        <f t="shared" si="1"/>
        <v>490</v>
      </c>
      <c r="G14" s="4">
        <f t="shared" si="2"/>
        <v>1.58</v>
      </c>
      <c r="H14" s="4">
        <f t="shared" si="3"/>
        <v>8</v>
      </c>
      <c r="I14" s="4">
        <f t="shared" si="4"/>
        <v>17</v>
      </c>
    </row>
    <row r="15">
      <c r="A15" s="3" t="s">
        <v>32</v>
      </c>
      <c r="B15" s="3" t="s">
        <v>33</v>
      </c>
      <c r="C15" s="3" t="s">
        <v>11</v>
      </c>
      <c r="D15" s="3">
        <v>1.0</v>
      </c>
      <c r="E15" s="3">
        <v>560.0</v>
      </c>
      <c r="F15" s="4">
        <f t="shared" si="1"/>
        <v>560</v>
      </c>
      <c r="G15" s="4">
        <f t="shared" si="2"/>
        <v>1.81</v>
      </c>
      <c r="H15" s="4">
        <f t="shared" si="3"/>
        <v>1</v>
      </c>
      <c r="I15" s="4">
        <f t="shared" si="4"/>
        <v>15</v>
      </c>
    </row>
    <row r="16">
      <c r="A16" s="3" t="s">
        <v>34</v>
      </c>
      <c r="B16" s="3" t="s">
        <v>18</v>
      </c>
      <c r="C16" s="3" t="s">
        <v>11</v>
      </c>
      <c r="D16" s="3">
        <v>1.0</v>
      </c>
      <c r="E16" s="3">
        <v>580.0</v>
      </c>
      <c r="F16" s="4">
        <f t="shared" si="1"/>
        <v>580</v>
      </c>
      <c r="G16" s="4">
        <f t="shared" si="2"/>
        <v>1.87</v>
      </c>
      <c r="H16" s="4">
        <f t="shared" si="3"/>
        <v>7</v>
      </c>
      <c r="I16" s="4">
        <f t="shared" si="4"/>
        <v>14</v>
      </c>
    </row>
    <row r="17">
      <c r="A17" s="3" t="s">
        <v>35</v>
      </c>
      <c r="B17" s="3" t="s">
        <v>21</v>
      </c>
      <c r="C17" s="3" t="s">
        <v>11</v>
      </c>
      <c r="D17" s="3">
        <v>1.0</v>
      </c>
      <c r="E17" s="3">
        <v>360.0</v>
      </c>
      <c r="F17" s="4">
        <f t="shared" si="1"/>
        <v>360</v>
      </c>
      <c r="G17" s="4">
        <f t="shared" si="2"/>
        <v>1.16</v>
      </c>
      <c r="H17" s="4">
        <f t="shared" si="3"/>
        <v>4</v>
      </c>
      <c r="I17" s="4">
        <f t="shared" si="4"/>
        <v>18</v>
      </c>
    </row>
    <row r="18">
      <c r="A18" s="3" t="s">
        <v>36</v>
      </c>
      <c r="B18" s="3" t="s">
        <v>21</v>
      </c>
      <c r="C18" s="3" t="s">
        <v>11</v>
      </c>
      <c r="D18" s="3">
        <v>1.0</v>
      </c>
      <c r="E18" s="3">
        <v>540.0</v>
      </c>
      <c r="F18" s="4">
        <f t="shared" si="1"/>
        <v>540</v>
      </c>
      <c r="G18" s="4">
        <f t="shared" si="2"/>
        <v>1.74</v>
      </c>
      <c r="H18" s="4">
        <f t="shared" si="3"/>
        <v>3</v>
      </c>
      <c r="I18" s="4">
        <f t="shared" si="4"/>
        <v>16</v>
      </c>
    </row>
    <row r="19">
      <c r="A19" s="3" t="s">
        <v>37</v>
      </c>
      <c r="B19" s="3" t="s">
        <v>33</v>
      </c>
      <c r="C19" s="3" t="s">
        <v>11</v>
      </c>
      <c r="D19" s="3">
        <v>1.0</v>
      </c>
      <c r="E19" s="3">
        <v>310.0</v>
      </c>
      <c r="F19" s="4">
        <f t="shared" si="1"/>
        <v>310</v>
      </c>
      <c r="G19" s="4">
        <f t="shared" si="2"/>
        <v>1</v>
      </c>
      <c r="H19" s="4">
        <f t="shared" si="3"/>
        <v>2</v>
      </c>
      <c r="I19" s="4">
        <f t="shared" si="4"/>
        <v>19</v>
      </c>
    </row>
    <row r="20">
      <c r="A20" s="3" t="s">
        <v>38</v>
      </c>
      <c r="B20" s="3" t="s">
        <v>33</v>
      </c>
      <c r="C20" s="3" t="s">
        <v>11</v>
      </c>
      <c r="D20" s="3">
        <v>1.0</v>
      </c>
      <c r="E20" s="3">
        <v>285.0</v>
      </c>
      <c r="F20" s="4">
        <f t="shared" si="1"/>
        <v>285</v>
      </c>
      <c r="G20" s="4">
        <f t="shared" si="2"/>
        <v>0.92</v>
      </c>
      <c r="H20" s="4">
        <f t="shared" si="3"/>
        <v>3</v>
      </c>
      <c r="I20" s="4">
        <f t="shared" si="4"/>
        <v>20</v>
      </c>
    </row>
    <row r="21">
      <c r="A21" s="3" t="s">
        <v>39</v>
      </c>
      <c r="B21" s="3" t="s">
        <v>21</v>
      </c>
      <c r="C21" s="3" t="s">
        <v>27</v>
      </c>
      <c r="D21" s="3">
        <v>1.0</v>
      </c>
      <c r="E21" s="3">
        <v>720.0</v>
      </c>
      <c r="F21" s="4">
        <f t="shared" si="1"/>
        <v>720</v>
      </c>
      <c r="G21" s="4">
        <f t="shared" si="2"/>
        <v>2.32</v>
      </c>
      <c r="H21" s="4">
        <f t="shared" si="3"/>
        <v>2</v>
      </c>
      <c r="I21" s="4">
        <f t="shared" si="4"/>
        <v>13</v>
      </c>
    </row>
  </sheetData>
  <conditionalFormatting sqref="A2:I21">
    <cfRule type="expression" dxfId="0" priority="1">
      <formula>$B2="Royalty"</formula>
    </cfRule>
  </conditionalFormatting>
  <conditionalFormatting sqref="A2:I21">
    <cfRule type="expression" dxfId="1" priority="2">
      <formula>$B2="Nobility"</formula>
    </cfRule>
  </conditionalFormatting>
  <conditionalFormatting sqref="A2:I21">
    <cfRule type="expression" dxfId="2" priority="3">
      <formula>$B2="Military"</formula>
    </cfRule>
  </conditionalFormatting>
  <conditionalFormatting sqref="A2:I21">
    <cfRule type="expression" dxfId="3" priority="4">
      <formula>$B2="Bourgeoisie"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5.5"/>
    <col customWidth="1" min="5" max="5" width="17.25"/>
    <col customWidth="1" min="6" max="7" width="16.75"/>
    <col customWidth="1" min="8" max="8" width="19.75"/>
  </cols>
  <sheetData>
    <row r="1">
      <c r="A1" s="1" t="s">
        <v>40</v>
      </c>
      <c r="B1" s="1" t="s">
        <v>41</v>
      </c>
      <c r="C1" s="1" t="s">
        <v>42</v>
      </c>
      <c r="D1" s="1" t="s">
        <v>3</v>
      </c>
      <c r="E1" s="1" t="s">
        <v>43</v>
      </c>
      <c r="F1" s="1" t="s">
        <v>44</v>
      </c>
      <c r="G1" s="1" t="s">
        <v>45</v>
      </c>
      <c r="H1" s="1" t="s">
        <v>46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47</v>
      </c>
      <c r="B2" s="3" t="s">
        <v>48</v>
      </c>
      <c r="C2" s="3">
        <v>1837.0</v>
      </c>
      <c r="D2" s="3">
        <v>8.0</v>
      </c>
      <c r="E2" s="3">
        <v>14810.0</v>
      </c>
      <c r="F2" s="3">
        <v>243.0</v>
      </c>
      <c r="G2" s="4">
        <f t="shared" ref="G2:G10" si="1">ROUND(E2/F2,2)</f>
        <v>60.95</v>
      </c>
      <c r="H2" s="4">
        <f t="shared" ref="H2:H10" si="2">ROUND((E2/SUM($E$2:$E$10))*100,2)</f>
        <v>47.77</v>
      </c>
    </row>
    <row r="3">
      <c r="A3" s="3" t="s">
        <v>49</v>
      </c>
      <c r="B3" s="3" t="s">
        <v>50</v>
      </c>
      <c r="C3" s="3">
        <v>1848.0</v>
      </c>
      <c r="D3" s="3">
        <v>3.0</v>
      </c>
      <c r="E3" s="3">
        <v>4320.0</v>
      </c>
      <c r="F3" s="3">
        <v>62.0</v>
      </c>
      <c r="G3" s="4">
        <f t="shared" si="1"/>
        <v>69.68</v>
      </c>
      <c r="H3" s="4">
        <f t="shared" si="2"/>
        <v>13.93</v>
      </c>
    </row>
    <row r="4">
      <c r="A4" s="3" t="s">
        <v>51</v>
      </c>
      <c r="B4" s="3" t="s">
        <v>52</v>
      </c>
      <c r="C4" s="3">
        <v>1838.0</v>
      </c>
      <c r="D4" s="3">
        <v>4.0</v>
      </c>
      <c r="E4" s="3">
        <v>2690.0</v>
      </c>
      <c r="F4" s="3">
        <v>60.0</v>
      </c>
      <c r="G4" s="4">
        <f t="shared" si="1"/>
        <v>44.83</v>
      </c>
      <c r="H4" s="4">
        <f t="shared" si="2"/>
        <v>8.68</v>
      </c>
    </row>
    <row r="5">
      <c r="A5" s="3" t="s">
        <v>53</v>
      </c>
      <c r="B5" s="3" t="s">
        <v>54</v>
      </c>
      <c r="C5" s="3">
        <v>1840.0</v>
      </c>
      <c r="D5" s="3">
        <v>4.0</v>
      </c>
      <c r="E5" s="3">
        <v>2370.0</v>
      </c>
      <c r="F5" s="3">
        <v>51.0</v>
      </c>
      <c r="G5" s="4">
        <f t="shared" si="1"/>
        <v>46.47</v>
      </c>
      <c r="H5" s="4">
        <f t="shared" si="2"/>
        <v>7.64</v>
      </c>
    </row>
    <row r="6">
      <c r="A6" s="3" t="s">
        <v>55</v>
      </c>
      <c r="B6" s="3" t="s">
        <v>56</v>
      </c>
      <c r="C6" s="3">
        <v>1842.0</v>
      </c>
      <c r="D6" s="3">
        <v>4.0</v>
      </c>
      <c r="E6" s="3">
        <v>2310.0</v>
      </c>
      <c r="F6" s="3">
        <v>60.0</v>
      </c>
      <c r="G6" s="4">
        <f t="shared" si="1"/>
        <v>38.5</v>
      </c>
      <c r="H6" s="4">
        <f t="shared" si="2"/>
        <v>7.45</v>
      </c>
    </row>
    <row r="7">
      <c r="A7" s="3" t="s">
        <v>57</v>
      </c>
      <c r="B7" s="3" t="s">
        <v>58</v>
      </c>
      <c r="C7" s="3">
        <v>1851.0</v>
      </c>
      <c r="D7" s="3">
        <v>2.0</v>
      </c>
      <c r="E7" s="3">
        <v>1560.0</v>
      </c>
      <c r="F7" s="3">
        <v>39.0</v>
      </c>
      <c r="G7" s="4">
        <f t="shared" si="1"/>
        <v>40</v>
      </c>
      <c r="H7" s="4">
        <f t="shared" si="2"/>
        <v>5.03</v>
      </c>
    </row>
    <row r="8">
      <c r="A8" s="3" t="s">
        <v>59</v>
      </c>
      <c r="B8" s="3" t="s">
        <v>60</v>
      </c>
      <c r="C8" s="3">
        <v>1857.0</v>
      </c>
      <c r="D8" s="3">
        <v>1.0</v>
      </c>
      <c r="E8" s="3">
        <v>1400.0</v>
      </c>
      <c r="F8" s="3">
        <v>20.0</v>
      </c>
      <c r="G8" s="4">
        <f t="shared" si="1"/>
        <v>70</v>
      </c>
      <c r="H8" s="4">
        <f t="shared" si="2"/>
        <v>4.52</v>
      </c>
    </row>
    <row r="9">
      <c r="A9" s="3" t="s">
        <v>61</v>
      </c>
      <c r="B9" s="3" t="s">
        <v>62</v>
      </c>
      <c r="C9" s="3">
        <v>1845.0</v>
      </c>
      <c r="D9" s="3">
        <v>3.0</v>
      </c>
      <c r="E9" s="3">
        <v>1185.0</v>
      </c>
      <c r="F9" s="3">
        <v>28.0</v>
      </c>
      <c r="G9" s="4">
        <f t="shared" si="1"/>
        <v>42.32</v>
      </c>
      <c r="H9" s="4">
        <f t="shared" si="2"/>
        <v>3.82</v>
      </c>
    </row>
    <row r="10">
      <c r="A10" s="3" t="s">
        <v>63</v>
      </c>
      <c r="B10" s="3" t="s">
        <v>64</v>
      </c>
      <c r="C10" s="3">
        <v>1854.0</v>
      </c>
      <c r="D10" s="3">
        <v>1.0</v>
      </c>
      <c r="E10" s="3">
        <v>360.0</v>
      </c>
      <c r="F10" s="3">
        <v>9.0</v>
      </c>
      <c r="G10" s="4">
        <f t="shared" si="1"/>
        <v>40</v>
      </c>
      <c r="H10" s="4">
        <f t="shared" si="2"/>
        <v>1.16</v>
      </c>
    </row>
  </sheetData>
  <conditionalFormatting sqref="E1:E1000">
    <cfRule type="colorScale" priority="1">
      <colorScale>
        <cfvo type="formula" val="360"/>
        <cfvo type="formula" val="14810"/>
        <color rgb="FFFFFFFF"/>
        <color rgb="FFD85A30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16.88"/>
    <col customWidth="1" min="4" max="5" width="18.25"/>
  </cols>
  <sheetData>
    <row r="1">
      <c r="A1" s="1" t="s">
        <v>65</v>
      </c>
      <c r="B1" s="1" t="s">
        <v>3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71</v>
      </c>
      <c r="B2" s="3">
        <v>1.0</v>
      </c>
      <c r="C2" s="3">
        <v>430.0</v>
      </c>
      <c r="D2" s="3">
        <v>37.5</v>
      </c>
      <c r="E2" s="4">
        <f t="shared" ref="E2:E16" si="1">C2-D2</f>
        <v>392.5</v>
      </c>
      <c r="F2" s="4">
        <f t="shared" ref="F2:F16" si="2">ROUND((E2/C2)*100,2)</f>
        <v>91.28</v>
      </c>
      <c r="G2" s="4" t="str">
        <f t="shared" ref="G2:G16" si="3">IFS(F2&gt;=90,"Premium",F2&gt;=85,"Strong",F2&lt;85,"Standard")</f>
        <v>Premium</v>
      </c>
    </row>
    <row r="3">
      <c r="A3" s="3" t="s">
        <v>72</v>
      </c>
      <c r="B3" s="3">
        <v>1.0</v>
      </c>
      <c r="C3" s="3">
        <v>540.0</v>
      </c>
      <c r="D3" s="3">
        <v>47.25</v>
      </c>
      <c r="E3" s="4">
        <f t="shared" si="1"/>
        <v>492.75</v>
      </c>
      <c r="F3" s="4">
        <f t="shared" si="2"/>
        <v>91.25</v>
      </c>
      <c r="G3" s="4" t="str">
        <f t="shared" si="3"/>
        <v>Premium</v>
      </c>
    </row>
    <row r="4">
      <c r="A4" s="3" t="s">
        <v>73</v>
      </c>
      <c r="B4" s="3">
        <v>1.0</v>
      </c>
      <c r="C4" s="3">
        <v>840.0</v>
      </c>
      <c r="D4" s="3">
        <v>81.0</v>
      </c>
      <c r="E4" s="4">
        <f t="shared" si="1"/>
        <v>759</v>
      </c>
      <c r="F4" s="4">
        <f t="shared" si="2"/>
        <v>90.36</v>
      </c>
      <c r="G4" s="4" t="str">
        <f t="shared" si="3"/>
        <v>Premium</v>
      </c>
    </row>
    <row r="5">
      <c r="A5" s="3" t="s">
        <v>74</v>
      </c>
      <c r="B5" s="3">
        <v>1.0</v>
      </c>
      <c r="C5" s="3">
        <v>350.0</v>
      </c>
      <c r="D5" s="3">
        <v>34.0</v>
      </c>
      <c r="E5" s="4">
        <f t="shared" si="1"/>
        <v>316</v>
      </c>
      <c r="F5" s="4">
        <f t="shared" si="2"/>
        <v>90.29</v>
      </c>
      <c r="G5" s="4" t="str">
        <f t="shared" si="3"/>
        <v>Premium</v>
      </c>
    </row>
    <row r="6">
      <c r="A6" s="3" t="s">
        <v>75</v>
      </c>
      <c r="B6" s="3">
        <v>1.0</v>
      </c>
      <c r="C6" s="3">
        <v>310.0</v>
      </c>
      <c r="D6" s="3">
        <v>34.0</v>
      </c>
      <c r="E6" s="4">
        <f t="shared" si="1"/>
        <v>276</v>
      </c>
      <c r="F6" s="4">
        <f t="shared" si="2"/>
        <v>89.03</v>
      </c>
      <c r="G6" s="4" t="str">
        <f t="shared" si="3"/>
        <v>Strong</v>
      </c>
    </row>
    <row r="7">
      <c r="A7" s="3" t="s">
        <v>76</v>
      </c>
      <c r="B7" s="3">
        <v>1.0</v>
      </c>
      <c r="C7" s="3">
        <v>980.0</v>
      </c>
      <c r="D7" s="3">
        <v>113.5</v>
      </c>
      <c r="E7" s="4">
        <f t="shared" si="1"/>
        <v>866.5</v>
      </c>
      <c r="F7" s="4">
        <f t="shared" si="2"/>
        <v>88.42</v>
      </c>
      <c r="G7" s="4" t="str">
        <f t="shared" si="3"/>
        <v>Strong</v>
      </c>
    </row>
    <row r="8">
      <c r="A8" s="3" t="s">
        <v>77</v>
      </c>
      <c r="B8" s="3">
        <v>1.0</v>
      </c>
      <c r="C8" s="3">
        <v>680.0</v>
      </c>
      <c r="D8" s="3">
        <v>81.0</v>
      </c>
      <c r="E8" s="4">
        <f t="shared" si="1"/>
        <v>599</v>
      </c>
      <c r="F8" s="4">
        <f t="shared" si="2"/>
        <v>88.09</v>
      </c>
      <c r="G8" s="4" t="str">
        <f t="shared" si="3"/>
        <v>Strong</v>
      </c>
    </row>
    <row r="9">
      <c r="A9" s="3" t="s">
        <v>78</v>
      </c>
      <c r="B9" s="3">
        <v>1.0</v>
      </c>
      <c r="C9" s="3">
        <v>490.0</v>
      </c>
      <c r="D9" s="3">
        <v>60.0</v>
      </c>
      <c r="E9" s="4">
        <f t="shared" si="1"/>
        <v>430</v>
      </c>
      <c r="F9" s="4">
        <f t="shared" si="2"/>
        <v>87.76</v>
      </c>
      <c r="G9" s="4" t="str">
        <f t="shared" si="3"/>
        <v>Strong</v>
      </c>
    </row>
    <row r="10">
      <c r="A10" s="3" t="s">
        <v>79</v>
      </c>
      <c r="B10" s="3">
        <v>1.0</v>
      </c>
      <c r="C10" s="3">
        <v>620.0</v>
      </c>
      <c r="D10" s="3">
        <v>77.0</v>
      </c>
      <c r="E10" s="4">
        <f t="shared" si="1"/>
        <v>543</v>
      </c>
      <c r="F10" s="4">
        <f t="shared" si="2"/>
        <v>87.58</v>
      </c>
      <c r="G10" s="4" t="str">
        <f t="shared" si="3"/>
        <v>Strong</v>
      </c>
    </row>
    <row r="11">
      <c r="A11" s="3" t="s">
        <v>80</v>
      </c>
      <c r="B11" s="3">
        <v>1.0</v>
      </c>
      <c r="C11" s="3">
        <v>1850.0</v>
      </c>
      <c r="D11" s="3">
        <v>264.0</v>
      </c>
      <c r="E11" s="4">
        <f t="shared" si="1"/>
        <v>1586</v>
      </c>
      <c r="F11" s="4">
        <f t="shared" si="2"/>
        <v>85.73</v>
      </c>
      <c r="G11" s="4" t="str">
        <f t="shared" si="3"/>
        <v>Strong</v>
      </c>
    </row>
    <row r="12">
      <c r="A12" s="3" t="s">
        <v>81</v>
      </c>
      <c r="B12" s="3">
        <v>1.0</v>
      </c>
      <c r="C12" s="3">
        <v>1340.0</v>
      </c>
      <c r="D12" s="3">
        <v>187.0</v>
      </c>
      <c r="E12" s="4">
        <f t="shared" si="1"/>
        <v>1153</v>
      </c>
      <c r="F12" s="4">
        <f t="shared" si="2"/>
        <v>86.04</v>
      </c>
      <c r="G12" s="4" t="str">
        <f t="shared" si="3"/>
        <v>Strong</v>
      </c>
    </row>
    <row r="13">
      <c r="A13" s="3" t="s">
        <v>82</v>
      </c>
      <c r="B13" s="3">
        <v>1.0</v>
      </c>
      <c r="C13" s="3">
        <v>720.0</v>
      </c>
      <c r="D13" s="3">
        <v>108.5</v>
      </c>
      <c r="E13" s="4">
        <f t="shared" si="1"/>
        <v>611.5</v>
      </c>
      <c r="F13" s="4">
        <f t="shared" si="2"/>
        <v>84.93</v>
      </c>
      <c r="G13" s="4" t="str">
        <f t="shared" si="3"/>
        <v>Standard</v>
      </c>
    </row>
    <row r="14">
      <c r="A14" s="3" t="s">
        <v>83</v>
      </c>
      <c r="B14" s="3">
        <v>1.0</v>
      </c>
      <c r="C14" s="3">
        <v>580.0</v>
      </c>
      <c r="D14" s="3">
        <v>93.5</v>
      </c>
      <c r="E14" s="4">
        <f t="shared" si="1"/>
        <v>486.5</v>
      </c>
      <c r="F14" s="4">
        <f t="shared" si="2"/>
        <v>83.88</v>
      </c>
      <c r="G14" s="4" t="str">
        <f t="shared" si="3"/>
        <v>Standard</v>
      </c>
    </row>
    <row r="15">
      <c r="A15" s="3" t="s">
        <v>84</v>
      </c>
      <c r="B15" s="3">
        <v>1.0</v>
      </c>
      <c r="C15" s="3">
        <v>1100.0</v>
      </c>
      <c r="D15" s="3">
        <v>233.0</v>
      </c>
      <c r="E15" s="4">
        <f t="shared" si="1"/>
        <v>867</v>
      </c>
      <c r="F15" s="4">
        <f t="shared" si="2"/>
        <v>78.82</v>
      </c>
      <c r="G15" s="4" t="str">
        <f t="shared" si="3"/>
        <v>Standard</v>
      </c>
    </row>
    <row r="16">
      <c r="A16" s="3" t="s">
        <v>85</v>
      </c>
      <c r="B16" s="3">
        <v>1.0</v>
      </c>
      <c r="C16" s="3">
        <v>920.0</v>
      </c>
      <c r="D16" s="3">
        <v>210.5</v>
      </c>
      <c r="E16" s="4">
        <f t="shared" si="1"/>
        <v>709.5</v>
      </c>
      <c r="F16" s="4">
        <f t="shared" si="2"/>
        <v>77.12</v>
      </c>
      <c r="G16" s="4" t="str">
        <f t="shared" si="3"/>
        <v>Standard</v>
      </c>
    </row>
  </sheetData>
  <conditionalFormatting sqref="G1:G1000">
    <cfRule type="containsText" dxfId="2" priority="1" operator="containsText" text="Premium">
      <formula>NOT(ISERROR(SEARCH(("Premium"),(G1))))</formula>
    </cfRule>
  </conditionalFormatting>
  <conditionalFormatting sqref="G1:G1000">
    <cfRule type="containsText" dxfId="4" priority="2" operator="containsText" text="Strong">
      <formula>NOT(ISERROR(SEARCH(("Strong"),(G1))))</formula>
    </cfRule>
  </conditionalFormatting>
  <conditionalFormatting sqref="G1:G1000">
    <cfRule type="containsText" dxfId="3" priority="3" operator="containsText" text="Standard">
      <formula>NOT(ISERROR(SEARCH(("Standard"),(G1))))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9.13"/>
    <col customWidth="1" min="5" max="5" width="20.63"/>
    <col customWidth="1" min="6" max="6" width="14.25"/>
    <col customWidth="1" min="7" max="7" width="16.88"/>
  </cols>
  <sheetData>
    <row r="1">
      <c r="A1" s="1" t="s">
        <v>86</v>
      </c>
      <c r="B1" s="1" t="s">
        <v>3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1838.0</v>
      </c>
      <c r="B2" s="3">
        <v>1.0</v>
      </c>
      <c r="C2" s="3">
        <v>980.0</v>
      </c>
      <c r="D2" s="4" t="str">
        <f t="shared" ref="D2:D30" si="1">IF(ROW()=2,"",C1)</f>
        <v/>
      </c>
      <c r="E2" s="4">
        <f t="shared" ref="E2:E30" si="2">SUM($C$2:C2)</f>
        <v>980</v>
      </c>
      <c r="F2" s="4" t="str">
        <f t="shared" ref="F2:F30" si="3">IF(D2="","", ROUND(((C2-D2)/D2)*100,2))</f>
        <v/>
      </c>
      <c r="G2" s="4" t="str">
        <f t="shared" ref="G2:G30" si="4">IFS(AND(A2&gt;=1837,A2&lt;=1849),"Founding Decade",AND(A2&gt;=1850,A2&lt;=1859),"Consolidation",AND(A2&gt;=1860,A2&lt;=1869),"Expansion",AND(A2&gt;=1870,A2&lt;=1880),"Maturity")</f>
        <v>Founding Decade</v>
      </c>
    </row>
    <row r="3">
      <c r="A3" s="3">
        <v>1840.0</v>
      </c>
      <c r="B3" s="3">
        <v>1.0</v>
      </c>
      <c r="C3" s="3">
        <v>1850.0</v>
      </c>
      <c r="D3" s="4">
        <f t="shared" si="1"/>
        <v>980</v>
      </c>
      <c r="E3" s="4">
        <f t="shared" si="2"/>
        <v>2830</v>
      </c>
      <c r="F3" s="4">
        <f t="shared" si="3"/>
        <v>88.78</v>
      </c>
      <c r="G3" s="4" t="str">
        <f t="shared" si="4"/>
        <v>Founding Decade</v>
      </c>
    </row>
    <row r="4">
      <c r="A4" s="3">
        <v>1842.0</v>
      </c>
      <c r="B4" s="3">
        <v>1.0</v>
      </c>
      <c r="C4" s="3">
        <v>620.0</v>
      </c>
      <c r="D4" s="4">
        <f t="shared" si="1"/>
        <v>1850</v>
      </c>
      <c r="E4" s="4">
        <f t="shared" si="2"/>
        <v>3450</v>
      </c>
      <c r="F4" s="4">
        <f t="shared" si="3"/>
        <v>-66.49</v>
      </c>
      <c r="G4" s="4" t="str">
        <f t="shared" si="4"/>
        <v>Founding Decade</v>
      </c>
    </row>
    <row r="5">
      <c r="A5" s="3">
        <v>1843.0</v>
      </c>
      <c r="B5" s="3">
        <v>1.0</v>
      </c>
      <c r="C5" s="3">
        <v>540.0</v>
      </c>
      <c r="D5" s="4">
        <f t="shared" si="1"/>
        <v>620</v>
      </c>
      <c r="E5" s="4">
        <f t="shared" si="2"/>
        <v>3990</v>
      </c>
      <c r="F5" s="4">
        <f t="shared" si="3"/>
        <v>-12.9</v>
      </c>
      <c r="G5" s="4" t="str">
        <f t="shared" si="4"/>
        <v>Founding Decade</v>
      </c>
    </row>
    <row r="6">
      <c r="A6" s="3">
        <v>1845.0</v>
      </c>
      <c r="B6" s="3">
        <v>1.0</v>
      </c>
      <c r="C6" s="3">
        <v>430.0</v>
      </c>
      <c r="D6" s="4">
        <f t="shared" si="1"/>
        <v>540</v>
      </c>
      <c r="E6" s="4">
        <f t="shared" si="2"/>
        <v>4420</v>
      </c>
      <c r="F6" s="4">
        <f t="shared" si="3"/>
        <v>-20.37</v>
      </c>
      <c r="G6" s="4" t="str">
        <f t="shared" si="4"/>
        <v>Founding Decade</v>
      </c>
    </row>
    <row r="7">
      <c r="A7" s="3">
        <v>1847.0</v>
      </c>
      <c r="B7" s="3">
        <v>1.0</v>
      </c>
      <c r="C7" s="3">
        <v>1340.0</v>
      </c>
      <c r="D7" s="4">
        <f t="shared" si="1"/>
        <v>430</v>
      </c>
      <c r="E7" s="4">
        <f t="shared" si="2"/>
        <v>5760</v>
      </c>
      <c r="F7" s="4">
        <f t="shared" si="3"/>
        <v>211.63</v>
      </c>
      <c r="G7" s="4" t="str">
        <f t="shared" si="4"/>
        <v>Founding Decade</v>
      </c>
    </row>
    <row r="8">
      <c r="A8" s="3">
        <v>1848.0</v>
      </c>
      <c r="B8" s="3">
        <v>1.0</v>
      </c>
      <c r="C8" s="3">
        <v>840.0</v>
      </c>
      <c r="D8" s="4">
        <f t="shared" si="1"/>
        <v>1340</v>
      </c>
      <c r="E8" s="4">
        <f t="shared" si="2"/>
        <v>6600</v>
      </c>
      <c r="F8" s="4">
        <f t="shared" si="3"/>
        <v>-37.31</v>
      </c>
      <c r="G8" s="4" t="str">
        <f t="shared" si="4"/>
        <v>Founding Decade</v>
      </c>
    </row>
    <row r="9">
      <c r="A9" s="3">
        <v>1849.0</v>
      </c>
      <c r="B9" s="3">
        <v>1.0</v>
      </c>
      <c r="C9" s="3">
        <v>1620.0</v>
      </c>
      <c r="D9" s="4">
        <f t="shared" si="1"/>
        <v>840</v>
      </c>
      <c r="E9" s="4">
        <f t="shared" si="2"/>
        <v>8220</v>
      </c>
      <c r="F9" s="4">
        <f t="shared" si="3"/>
        <v>92.86</v>
      </c>
      <c r="G9" s="4" t="str">
        <f t="shared" si="4"/>
        <v>Founding Decade</v>
      </c>
    </row>
    <row r="10">
      <c r="A10" s="3">
        <v>1851.0</v>
      </c>
      <c r="B10" s="3">
        <v>1.0</v>
      </c>
      <c r="C10" s="3">
        <v>720.0</v>
      </c>
      <c r="D10" s="4">
        <f t="shared" si="1"/>
        <v>1620</v>
      </c>
      <c r="E10" s="4">
        <f t="shared" si="2"/>
        <v>8940</v>
      </c>
      <c r="F10" s="4">
        <f t="shared" si="3"/>
        <v>-55.56</v>
      </c>
      <c r="G10" s="4" t="str">
        <f t="shared" si="4"/>
        <v>Consolidation</v>
      </c>
    </row>
    <row r="11">
      <c r="A11" s="3">
        <v>1852.0</v>
      </c>
      <c r="B11" s="3">
        <v>1.0</v>
      </c>
      <c r="C11" s="3">
        <v>920.0</v>
      </c>
      <c r="D11" s="4">
        <f t="shared" si="1"/>
        <v>720</v>
      </c>
      <c r="E11" s="4">
        <f t="shared" si="2"/>
        <v>9860</v>
      </c>
      <c r="F11" s="4">
        <f t="shared" si="3"/>
        <v>27.78</v>
      </c>
      <c r="G11" s="4" t="str">
        <f t="shared" si="4"/>
        <v>Consolidation</v>
      </c>
    </row>
    <row r="12">
      <c r="A12" s="3">
        <v>1853.0</v>
      </c>
      <c r="B12" s="3">
        <v>1.0</v>
      </c>
      <c r="C12" s="3">
        <v>580.0</v>
      </c>
      <c r="D12" s="4">
        <f t="shared" si="1"/>
        <v>920</v>
      </c>
      <c r="E12" s="4">
        <f t="shared" si="2"/>
        <v>10440</v>
      </c>
      <c r="F12" s="4">
        <f t="shared" si="3"/>
        <v>-36.96</v>
      </c>
      <c r="G12" s="4" t="str">
        <f t="shared" si="4"/>
        <v>Consolidation</v>
      </c>
    </row>
    <row r="13">
      <c r="A13" s="3">
        <v>1855.0</v>
      </c>
      <c r="B13" s="3">
        <v>1.0</v>
      </c>
      <c r="C13" s="3">
        <v>310.0</v>
      </c>
      <c r="D13" s="4">
        <f t="shared" si="1"/>
        <v>580</v>
      </c>
      <c r="E13" s="4">
        <f t="shared" si="2"/>
        <v>10750</v>
      </c>
      <c r="F13" s="4">
        <f t="shared" si="3"/>
        <v>-46.55</v>
      </c>
      <c r="G13" s="4" t="str">
        <f t="shared" si="4"/>
        <v>Consolidation</v>
      </c>
    </row>
    <row r="14">
      <c r="A14" s="3">
        <v>1856.0</v>
      </c>
      <c r="B14" s="3">
        <v>1.0</v>
      </c>
      <c r="C14" s="3">
        <v>2200.0</v>
      </c>
      <c r="D14" s="4">
        <f t="shared" si="1"/>
        <v>310</v>
      </c>
      <c r="E14" s="4">
        <f t="shared" si="2"/>
        <v>12950</v>
      </c>
      <c r="F14" s="4">
        <f t="shared" si="3"/>
        <v>609.68</v>
      </c>
      <c r="G14" s="4" t="str">
        <f t="shared" si="4"/>
        <v>Consolidation</v>
      </c>
    </row>
    <row r="15">
      <c r="A15" s="3">
        <v>1858.0</v>
      </c>
      <c r="B15" s="3">
        <v>2.0</v>
      </c>
      <c r="C15" s="3">
        <v>840.0</v>
      </c>
      <c r="D15" s="4">
        <f t="shared" si="1"/>
        <v>2200</v>
      </c>
      <c r="E15" s="4">
        <f t="shared" si="2"/>
        <v>13790</v>
      </c>
      <c r="F15" s="4">
        <f t="shared" si="3"/>
        <v>-61.82</v>
      </c>
      <c r="G15" s="4" t="str">
        <f t="shared" si="4"/>
        <v>Consolidation</v>
      </c>
    </row>
    <row r="16">
      <c r="A16" s="3">
        <v>1860.0</v>
      </c>
      <c r="B16" s="3">
        <v>1.0</v>
      </c>
      <c r="C16" s="3">
        <v>880.0</v>
      </c>
      <c r="D16" s="4">
        <f t="shared" si="1"/>
        <v>840</v>
      </c>
      <c r="E16" s="4">
        <f t="shared" si="2"/>
        <v>14670</v>
      </c>
      <c r="F16" s="4">
        <f t="shared" si="3"/>
        <v>4.76</v>
      </c>
      <c r="G16" s="4" t="str">
        <f t="shared" si="4"/>
        <v>Expansion</v>
      </c>
    </row>
    <row r="17">
      <c r="A17" s="3">
        <v>1862.0</v>
      </c>
      <c r="B17" s="3">
        <v>1.0</v>
      </c>
      <c r="C17" s="3">
        <v>2850.0</v>
      </c>
      <c r="D17" s="4">
        <f t="shared" si="1"/>
        <v>880</v>
      </c>
      <c r="E17" s="4">
        <f t="shared" si="2"/>
        <v>17520</v>
      </c>
      <c r="F17" s="4">
        <f t="shared" si="3"/>
        <v>223.86</v>
      </c>
      <c r="G17" s="4" t="str">
        <f t="shared" si="4"/>
        <v>Expansion</v>
      </c>
    </row>
    <row r="18">
      <c r="A18" s="3">
        <v>1863.0</v>
      </c>
      <c r="B18" s="3">
        <v>1.0</v>
      </c>
      <c r="C18" s="3">
        <v>2100.0</v>
      </c>
      <c r="D18" s="4">
        <f t="shared" si="1"/>
        <v>2850</v>
      </c>
      <c r="E18" s="4">
        <f t="shared" si="2"/>
        <v>19620</v>
      </c>
      <c r="F18" s="4">
        <f t="shared" si="3"/>
        <v>-26.32</v>
      </c>
      <c r="G18" s="4" t="str">
        <f t="shared" si="4"/>
        <v>Expansion</v>
      </c>
    </row>
    <row r="19">
      <c r="A19" s="3">
        <v>1864.0</v>
      </c>
      <c r="B19" s="3">
        <v>1.0</v>
      </c>
      <c r="C19" s="3">
        <v>560.0</v>
      </c>
      <c r="D19" s="4">
        <f t="shared" si="1"/>
        <v>2100</v>
      </c>
      <c r="E19" s="4">
        <f t="shared" si="2"/>
        <v>20180</v>
      </c>
      <c r="F19" s="4">
        <f t="shared" si="3"/>
        <v>-73.33</v>
      </c>
      <c r="G19" s="4" t="str">
        <f t="shared" si="4"/>
        <v>Expansion</v>
      </c>
    </row>
    <row r="20">
      <c r="A20" s="3">
        <v>1865.0</v>
      </c>
      <c r="B20" s="3">
        <v>1.0</v>
      </c>
      <c r="C20" s="3">
        <v>1400.0</v>
      </c>
      <c r="D20" s="4">
        <f t="shared" si="1"/>
        <v>560</v>
      </c>
      <c r="E20" s="4">
        <f t="shared" si="2"/>
        <v>21580</v>
      </c>
      <c r="F20" s="4">
        <f t="shared" si="3"/>
        <v>150</v>
      </c>
      <c r="G20" s="4" t="str">
        <f t="shared" si="4"/>
        <v>Expansion</v>
      </c>
    </row>
    <row r="21">
      <c r="A21" s="3">
        <v>1866.0</v>
      </c>
      <c r="B21" s="3">
        <v>1.0</v>
      </c>
      <c r="C21" s="3">
        <v>810.0</v>
      </c>
      <c r="D21" s="4">
        <f t="shared" si="1"/>
        <v>1400</v>
      </c>
      <c r="E21" s="4">
        <f t="shared" si="2"/>
        <v>22390</v>
      </c>
      <c r="F21" s="4">
        <f t="shared" si="3"/>
        <v>-42.14</v>
      </c>
      <c r="G21" s="4" t="str">
        <f t="shared" si="4"/>
        <v>Expansion</v>
      </c>
    </row>
    <row r="22">
      <c r="A22" s="3">
        <v>1868.0</v>
      </c>
      <c r="B22" s="3">
        <v>1.0</v>
      </c>
      <c r="C22" s="3">
        <v>1780.0</v>
      </c>
      <c r="D22" s="4">
        <f t="shared" si="1"/>
        <v>810</v>
      </c>
      <c r="E22" s="4">
        <f t="shared" si="2"/>
        <v>24170</v>
      </c>
      <c r="F22" s="4">
        <f t="shared" si="3"/>
        <v>119.75</v>
      </c>
      <c r="G22" s="4" t="str">
        <f t="shared" si="4"/>
        <v>Expansion</v>
      </c>
    </row>
    <row r="23">
      <c r="A23" s="3">
        <v>1869.0</v>
      </c>
      <c r="B23" s="3">
        <v>1.0</v>
      </c>
      <c r="C23" s="3">
        <v>2650.0</v>
      </c>
      <c r="D23" s="4">
        <f t="shared" si="1"/>
        <v>1780</v>
      </c>
      <c r="E23" s="4">
        <f t="shared" si="2"/>
        <v>26820</v>
      </c>
      <c r="F23" s="4">
        <f t="shared" si="3"/>
        <v>48.88</v>
      </c>
      <c r="G23" s="4" t="str">
        <f t="shared" si="4"/>
        <v>Expansion</v>
      </c>
    </row>
    <row r="24">
      <c r="A24" s="3">
        <v>1870.0</v>
      </c>
      <c r="B24" s="3">
        <v>1.0</v>
      </c>
      <c r="C24" s="3">
        <v>360.0</v>
      </c>
      <c r="D24" s="4">
        <f t="shared" si="1"/>
        <v>2650</v>
      </c>
      <c r="E24" s="4">
        <f t="shared" si="2"/>
        <v>27180</v>
      </c>
      <c r="F24" s="4">
        <f t="shared" si="3"/>
        <v>-86.42</v>
      </c>
      <c r="G24" s="4" t="str">
        <f t="shared" si="4"/>
        <v>Maturity</v>
      </c>
    </row>
    <row r="25">
      <c r="A25" s="3">
        <v>1871.0</v>
      </c>
      <c r="B25" s="3">
        <v>1.0</v>
      </c>
      <c r="C25" s="3">
        <v>680.0</v>
      </c>
      <c r="D25" s="4">
        <f t="shared" si="1"/>
        <v>360</v>
      </c>
      <c r="E25" s="4">
        <f t="shared" si="2"/>
        <v>27860</v>
      </c>
      <c r="F25" s="4">
        <f t="shared" si="3"/>
        <v>88.89</v>
      </c>
      <c r="G25" s="4" t="str">
        <f t="shared" si="4"/>
        <v>Maturity</v>
      </c>
    </row>
    <row r="26">
      <c r="A26" s="3">
        <v>1872.0</v>
      </c>
      <c r="B26" s="3">
        <v>1.0</v>
      </c>
      <c r="C26" s="3">
        <v>1100.0</v>
      </c>
      <c r="D26" s="4">
        <f t="shared" si="1"/>
        <v>680</v>
      </c>
      <c r="E26" s="4">
        <f t="shared" si="2"/>
        <v>28960</v>
      </c>
      <c r="F26" s="4">
        <f t="shared" si="3"/>
        <v>61.76</v>
      </c>
      <c r="G26" s="4" t="str">
        <f t="shared" si="4"/>
        <v>Maturity</v>
      </c>
    </row>
    <row r="27">
      <c r="A27" s="3">
        <v>1874.0</v>
      </c>
      <c r="B27" s="3">
        <v>1.0</v>
      </c>
      <c r="C27" s="3">
        <v>285.0</v>
      </c>
      <c r="D27" s="4">
        <f t="shared" si="1"/>
        <v>1100</v>
      </c>
      <c r="E27" s="4">
        <f t="shared" si="2"/>
        <v>29245</v>
      </c>
      <c r="F27" s="4">
        <f t="shared" si="3"/>
        <v>-74.09</v>
      </c>
      <c r="G27" s="4" t="str">
        <f t="shared" si="4"/>
        <v>Maturity</v>
      </c>
    </row>
    <row r="28">
      <c r="A28" s="3">
        <v>1875.0</v>
      </c>
      <c r="B28" s="3">
        <v>1.0</v>
      </c>
      <c r="C28" s="3">
        <v>540.0</v>
      </c>
      <c r="D28" s="4">
        <f t="shared" si="1"/>
        <v>285</v>
      </c>
      <c r="E28" s="4">
        <f t="shared" si="2"/>
        <v>29785</v>
      </c>
      <c r="F28" s="4">
        <f t="shared" si="3"/>
        <v>89.47</v>
      </c>
      <c r="G28" s="4" t="str">
        <f t="shared" si="4"/>
        <v>Maturity</v>
      </c>
    </row>
    <row r="29">
      <c r="A29" s="3">
        <v>1877.0</v>
      </c>
      <c r="B29" s="3">
        <v>1.0</v>
      </c>
      <c r="C29" s="3">
        <v>900.0</v>
      </c>
      <c r="D29" s="4">
        <f t="shared" si="1"/>
        <v>540</v>
      </c>
      <c r="E29" s="4">
        <f t="shared" si="2"/>
        <v>30685</v>
      </c>
      <c r="F29" s="4">
        <f t="shared" si="3"/>
        <v>66.67</v>
      </c>
      <c r="G29" s="4" t="str">
        <f t="shared" si="4"/>
        <v>Maturity</v>
      </c>
    </row>
    <row r="30">
      <c r="A30" s="3">
        <v>1879.0</v>
      </c>
      <c r="B30" s="3">
        <v>1.0</v>
      </c>
      <c r="C30" s="3">
        <v>320.0</v>
      </c>
      <c r="D30" s="4">
        <f t="shared" si="1"/>
        <v>900</v>
      </c>
      <c r="E30" s="4">
        <f t="shared" si="2"/>
        <v>31005</v>
      </c>
      <c r="F30" s="4">
        <f t="shared" si="3"/>
        <v>-64.44</v>
      </c>
      <c r="G30" s="4" t="str">
        <f t="shared" si="4"/>
        <v>Maturity</v>
      </c>
    </row>
  </sheetData>
  <conditionalFormatting sqref="G1:G1000">
    <cfRule type="containsText" dxfId="5" priority="1" operator="containsText" text="Founding Decade">
      <formula>NOT(ISERROR(SEARCH(("Founding Decade"),(G1))))</formula>
    </cfRule>
  </conditionalFormatting>
  <conditionalFormatting sqref="G1:G1000">
    <cfRule type="containsText" dxfId="6" priority="2" operator="containsText" text="Consolidation">
      <formula>NOT(ISERROR(SEARCH(("Consolidation"),(G1))))</formula>
    </cfRule>
  </conditionalFormatting>
  <conditionalFormatting sqref="G1:G1000">
    <cfRule type="containsText" dxfId="7" priority="3" operator="containsText" text="Expansion">
      <formula>NOT(ISERROR(SEARCH(("Expansion"),(G1))))</formula>
    </cfRule>
  </conditionalFormatting>
  <conditionalFormatting sqref="G1:G1000">
    <cfRule type="containsText" dxfId="8" priority="4" operator="containsText" text="Maturity">
      <formula>NOT(ISERROR(SEARCH(("Maturity"),(G1))))</formula>
    </cfRule>
  </conditionalFormatting>
  <drawing r:id="rId1"/>
</worksheet>
</file>