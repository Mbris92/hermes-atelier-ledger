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al B\Desktop\Claude\Luxury Chronology Analytics Series\REPO 1\SPREADSHEET\"/>
    </mc:Choice>
  </mc:AlternateContent>
  <xr:revisionPtr revIDLastSave="0" documentId="8_{7137A169-6123-4685-A3D1-FF480213DAA3}" xr6:coauthVersionLast="47" xr6:coauthVersionMax="47" xr10:uidLastSave="{00000000-0000-0000-0000-000000000000}"/>
  <bookViews>
    <workbookView xWindow="-108" yWindow="-108" windowWidth="23256" windowHeight="12456" xr2:uid="{3243D2B1-9D29-4109-A5D1-A00087D0AEB9}"/>
  </bookViews>
  <sheets>
    <sheet name="0 – Executive Summary" sheetId="5" r:id="rId1"/>
    <sheet name="I – Client Intelligence" sheetId="1" r:id="rId2"/>
    <sheet name="II – Craftsman Output" sheetId="2" r:id="rId3"/>
    <sheet name="III – Margin Analysis" sheetId="3" r:id="rId4"/>
    <sheet name="IV – Revenue &amp; Growth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5" l="1"/>
  <c r="B10" i="5"/>
  <c r="B9" i="5"/>
  <c r="B8" i="5"/>
  <c r="B6" i="5"/>
  <c r="B5" i="5"/>
  <c r="B4" i="5"/>
  <c r="B3" i="5"/>
  <c r="B2" i="5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G4" i="4" a="1"/>
  <c r="G4" i="4"/>
  <c r="G5" i="4" a="1"/>
  <c r="G5" i="4" s="1"/>
  <c r="G6" i="4" a="1"/>
  <c r="G6" i="4" s="1"/>
  <c r="G7" i="4" a="1"/>
  <c r="G7" i="4" s="1"/>
  <c r="G8" i="4" a="1"/>
  <c r="G8" i="4" s="1"/>
  <c r="G9" i="4" a="1"/>
  <c r="G9" i="4"/>
  <c r="G10" i="4" a="1"/>
  <c r="G10" i="4"/>
  <c r="G11" i="4" a="1"/>
  <c r="G11" i="4"/>
  <c r="G12" i="4" a="1"/>
  <c r="G12" i="4" s="1"/>
  <c r="G13" i="4" a="1"/>
  <c r="G13" i="4" s="1"/>
  <c r="G14" i="4" a="1"/>
  <c r="G14" i="4" s="1"/>
  <c r="G15" i="4" a="1"/>
  <c r="G15" i="4" s="1"/>
  <c r="G16" i="4" a="1"/>
  <c r="G16" i="4"/>
  <c r="G17" i="4" a="1"/>
  <c r="G17" i="4"/>
  <c r="G18" i="4" a="1"/>
  <c r="G18" i="4" s="1"/>
  <c r="G19" i="4" a="1"/>
  <c r="G19" i="4" s="1"/>
  <c r="G20" i="4" a="1"/>
  <c r="G20" i="4" s="1"/>
  <c r="G21" i="4" a="1"/>
  <c r="G21" i="4"/>
  <c r="G22" i="4" a="1"/>
  <c r="G22" i="4"/>
  <c r="G23" i="4" a="1"/>
  <c r="G23" i="4"/>
  <c r="G24" i="4" a="1"/>
  <c r="G24" i="4" s="1"/>
  <c r="G25" i="4" a="1"/>
  <c r="G25" i="4" s="1"/>
  <c r="G26" i="4" a="1"/>
  <c r="G26" i="4" s="1"/>
  <c r="G27" i="4" a="1"/>
  <c r="G27" i="4"/>
  <c r="G28" i="4" a="1"/>
  <c r="G28" i="4"/>
  <c r="G29" i="4" a="1"/>
  <c r="G29" i="4" s="1"/>
  <c r="G30" i="4" a="1"/>
  <c r="G30" i="4" s="1"/>
  <c r="G31" i="4" a="1"/>
  <c r="G31" i="4" s="1"/>
  <c r="G3" i="4" a="1"/>
  <c r="G3" i="4" s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" i="4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3" i="3"/>
  <c r="G4" i="3" a="1"/>
  <c r="G4" i="3" s="1"/>
  <c r="G5" i="3" a="1"/>
  <c r="G5" i="3" s="1"/>
  <c r="G6" i="3" a="1"/>
  <c r="G6" i="3" s="1"/>
  <c r="G7" i="3" a="1"/>
  <c r="G7" i="3" s="1"/>
  <c r="G8" i="3" a="1"/>
  <c r="G8" i="3" s="1"/>
  <c r="G9" i="3" a="1"/>
  <c r="G9" i="3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16" i="3" a="1"/>
  <c r="G16" i="3" s="1"/>
  <c r="G17" i="3" a="1"/>
  <c r="G17" i="3"/>
  <c r="G3" i="3" a="1"/>
  <c r="G3" i="3" s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3" i="3"/>
  <c r="H4" i="2"/>
  <c r="H5" i="2"/>
  <c r="H6" i="2"/>
  <c r="H7" i="2"/>
  <c r="H8" i="2"/>
  <c r="H9" i="2"/>
  <c r="H10" i="2"/>
  <c r="H11" i="2"/>
  <c r="H3" i="2"/>
  <c r="G4" i="2"/>
  <c r="G5" i="2"/>
  <c r="G6" i="2"/>
  <c r="G7" i="2"/>
  <c r="G8" i="2"/>
  <c r="G9" i="2"/>
  <c r="G10" i="2"/>
  <c r="G11" i="2"/>
  <c r="G3" i="2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<sst xmlns="http://schemas.openxmlformats.org/spreadsheetml/2006/main" count="135" uniqueCount="103">
  <si>
    <t>Client Name</t>
  </si>
  <si>
    <t>Client Tier</t>
  </si>
  <si>
    <t>Country</t>
  </si>
  <si>
    <t>Total Orders</t>
  </si>
  <si>
    <t>Total Sales (fr)</t>
  </si>
  <si>
    <t>Avg Order (fr)</t>
  </si>
  <si>
    <t>% of Revenue</t>
  </si>
  <si>
    <t>Tier Rank</t>
  </si>
  <si>
    <t>Spend Rank</t>
  </si>
  <si>
    <t>Comte de Paris</t>
  </si>
  <si>
    <t>Archduke Franz Karl</t>
  </si>
  <si>
    <t>Prince Anatole Demidoff</t>
  </si>
  <si>
    <t>Prince Napoleon Joseph</t>
  </si>
  <si>
    <t>Marquis de Gallifet</t>
  </si>
  <si>
    <t>Duc de Morny</t>
  </si>
  <si>
    <t>General Otto von Bismarck</t>
  </si>
  <si>
    <t>Prince Georges Stirbey</t>
  </si>
  <si>
    <t>Comte de Montesquieu</t>
  </si>
  <si>
    <t>Lord Ashburton</t>
  </si>
  <si>
    <t>Baron de Zuloaga</t>
  </si>
  <si>
    <t>Baron von Rothschild</t>
  </si>
  <si>
    <t>Baronne de Stael</t>
  </si>
  <si>
    <t>Madame de Pompadour-Levy</t>
  </si>
  <si>
    <t>Vicomte de Lesseps</t>
  </si>
  <si>
    <t>General Henri Baraguey</t>
  </si>
  <si>
    <t>Monsieur Edouard Delessert</t>
  </si>
  <si>
    <t>Monsieur Gusyave Caillebotte</t>
  </si>
  <si>
    <t>Colonel James Pemberton</t>
  </si>
  <si>
    <t>Military</t>
  </si>
  <si>
    <t>Royalty</t>
  </si>
  <si>
    <t>Nobility</t>
  </si>
  <si>
    <t>Bourgeoisie</t>
  </si>
  <si>
    <t>France</t>
  </si>
  <si>
    <t>Austria</t>
  </si>
  <si>
    <t>Russia</t>
  </si>
  <si>
    <t>Prussia</t>
  </si>
  <si>
    <t>Romania</t>
  </si>
  <si>
    <t>United Kingdom</t>
  </si>
  <si>
    <t>Spain</t>
  </si>
  <si>
    <t>Capitaine Rene Duvivier</t>
  </si>
  <si>
    <t>Craftsman</t>
  </si>
  <si>
    <t>Specialty</t>
  </si>
  <si>
    <t>Joined Year</t>
  </si>
  <si>
    <t>Total Labour Days</t>
  </si>
  <si>
    <t>Revenue/Day (fr)</t>
  </si>
  <si>
    <t>% of Atelier Revenue</t>
  </si>
  <si>
    <t>Thierry Hermes</t>
  </si>
  <si>
    <t>Henri Beaumont</t>
  </si>
  <si>
    <t>Charles Dupont</t>
  </si>
  <si>
    <t>Auguste Renard</t>
  </si>
  <si>
    <t>Joseph Mercier</t>
  </si>
  <si>
    <t>Pierre Delacroix</t>
  </si>
  <si>
    <t>Gustave Morel</t>
  </si>
  <si>
    <t>Emile Fontaine</t>
  </si>
  <si>
    <t>Francois Lamarre</t>
  </si>
  <si>
    <t>Master Saddler &amp; Harness Maker</t>
  </si>
  <si>
    <t>Gilding &amp; Metal Fittings</t>
  </si>
  <si>
    <t>Bridle &amp; Bit Specialist</t>
  </si>
  <si>
    <t>Leather Carving &amp; Tooling</t>
  </si>
  <si>
    <t>Stitching &amp; Assembly</t>
  </si>
  <si>
    <t>Pattern Making &amp; Cutting</t>
  </si>
  <si>
    <t>Bridle &amp; Collar Work</t>
  </si>
  <si>
    <t>Trunk &amp; Travel Goods</t>
  </si>
  <si>
    <t>Harness Painting &amp; Lacquer</t>
  </si>
  <si>
    <t>Total Revenue (fr)</t>
  </si>
  <si>
    <t>Product Type</t>
  </si>
  <si>
    <t>Avg Sale Price (fr)</t>
  </si>
  <si>
    <t>Avg Gross Margin (fr)</t>
  </si>
  <si>
    <t>Avg Margin %</t>
  </si>
  <si>
    <t>Margin Tier</t>
  </si>
  <si>
    <t>Margin Rank</t>
  </si>
  <si>
    <t>Carved Dispatch Satchel</t>
  </si>
  <si>
    <t>Presentation Bridle</t>
  </si>
  <si>
    <t>Hunting Saddle</t>
  </si>
  <si>
    <t>Embossed Leather Portfolio</t>
  </si>
  <si>
    <t>Gentleman Riding Kit</t>
  </si>
  <si>
    <t>Full Dress Harness</t>
  </si>
  <si>
    <t>Bespoke Hunt Seat Saddle</t>
  </si>
  <si>
    <t>Ladies Riding Habit Set</t>
  </si>
  <si>
    <t>Hunting Bridle Set</t>
  </si>
  <si>
    <t>Royal Presentation Saddle</t>
  </si>
  <si>
    <t>Grand Parade Harness</t>
  </si>
  <si>
    <t>Officer Field Saddle</t>
  </si>
  <si>
    <t>Travel Trunk Set</t>
  </si>
  <si>
    <t>Spanish Court Harness</t>
  </si>
  <si>
    <t>Silver Presentation Bridle</t>
  </si>
  <si>
    <t>Avg Material Cost (fr)</t>
  </si>
  <si>
    <t>Order Year</t>
  </si>
  <si>
    <t>Annual Revenue (fr)</t>
  </si>
  <si>
    <t>Prev Year Revenue(fr)</t>
  </si>
  <si>
    <t>Cumulative Revenue (fr)</t>
  </si>
  <si>
    <t>YoY Growth %</t>
  </si>
  <si>
    <t>Era</t>
  </si>
  <si>
    <t>Sparkline</t>
  </si>
  <si>
    <t>Top Client</t>
  </si>
  <si>
    <t>Top Client Spend (fr)</t>
  </si>
  <si>
    <t>Top Client % of Revenue</t>
  </si>
  <si>
    <t>Top Craftsman</t>
  </si>
  <si>
    <t>Top Craftsman Revenue (fr)</t>
  </si>
  <si>
    <t>Highest Margin Product</t>
  </si>
  <si>
    <t>Highest Margin %</t>
  </si>
  <si>
    <t>Total Atelier Revenue (fr)</t>
  </si>
  <si>
    <t>Peak Revenue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</si>
</sst>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color rgb="FF2C1A0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4C5F0"/>
        <bgColor rgb="FFC8D8E8"/>
      </patternFill>
    </fill>
    <fill>
      <patternFill patternType="solid">
        <fgColor rgb="FFF5E4B0"/>
        <bgColor rgb="FFF5E6A3"/>
      </patternFill>
    </fill>
    <fill>
      <patternFill patternType="solid">
        <fgColor rgb="FFB8DFC8"/>
        <bgColor rgb="FFA8D5B5"/>
      </patternFill>
    </fill>
    <fill>
      <patternFill patternType="solid">
        <fgColor rgb="FFC8D8E8"/>
        <bgColor rgb="FFB8DFC8"/>
      </patternFill>
    </fill>
  </fills>
  <borders count="2">
    <border>
      <left/>
      <right/>
      <top/>
      <bottom/>
      <diagonal/>
    </border>
    <border>
      <left style="thin">
        <color rgb="FFD6CBBF"/>
      </left>
      <right style="thin">
        <color rgb="FFD6CBBF"/>
      </right>
      <top style="thin">
        <color rgb="FFD6CBBF"/>
      </top>
      <bottom style="thin">
        <color rgb="FFD6CBBF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shrinkToFit="1"/>
    </xf>
    <xf numFmtId="0" fontId="0" fillId="0" borderId="0" xfId="0" applyAlignment="1">
      <alignment shrinkToFit="1"/>
    </xf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3" fontId="0" fillId="0" borderId="0" xfId="0" applyNumberFormat="1"/>
    <xf numFmtId="0" fontId="3" fillId="2" borderId="1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3" fontId="3" fillId="2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3" fontId="3" fillId="3" borderId="1" xfId="1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3" fontId="3" fillId="4" borderId="1" xfId="1" applyNumberFormat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3" fontId="3" fillId="5" borderId="1" xfId="1" applyNumberFormat="1" applyFont="1" applyFill="1" applyBorder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/>
  </cellXfs>
  <cellStyles count="2">
    <cellStyle name="Normal" xfId="0" builtinId="0"/>
    <cellStyle name="Normal 2" xfId="1" xr:uid="{04136493-0E38-4F6A-B766-C81D293D82FD}"/>
  </cellStyles>
  <dxfs count="0"/>
  <tableStyles count="0" defaultTableStyle="TableStyleMedium2" defaultPivotStyle="PivotStyleLight16"/>
  <colors>
    <mruColors>
      <color rgb="FFD85A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1429-6F4E-4DAE-A12D-2DF06C70670C}">
  <dimension ref="A2:B10"/>
  <sheetViews>
    <sheetView tabSelected="1" workbookViewId="0">
      <selection activeCell="B19" sqref="B19"/>
    </sheetView>
  </sheetViews>
  <sheetFormatPr defaultRowHeight="14.4" x14ac:dyDescent="0.3"/>
  <cols>
    <col min="1" max="1" width="24.5546875" customWidth="1"/>
    <col min="2" max="2" width="27.33203125" customWidth="1"/>
  </cols>
  <sheetData>
    <row r="2" spans="1:2" x14ac:dyDescent="0.3">
      <c r="A2" s="1" t="s">
        <v>94</v>
      </c>
      <c r="B2" t="str">
        <f>_xlfn.XLOOKUP(1,'I – Client Intelligence'!I3:I22,'I – Client Intelligence'!A3:A22)</f>
        <v>Comte de Paris</v>
      </c>
    </row>
    <row r="3" spans="1:2" x14ac:dyDescent="0.3">
      <c r="A3" s="1" t="s">
        <v>95</v>
      </c>
      <c r="B3">
        <f>_xlfn.XLOOKUP(1,'I – Client Intelligence'!I3:I22,'I – Client Intelligence'!E3:E22)</f>
        <v>5500</v>
      </c>
    </row>
    <row r="4" spans="1:2" x14ac:dyDescent="0.3">
      <c r="A4" s="1" t="s">
        <v>96</v>
      </c>
      <c r="B4">
        <f>_xlfn.XLOOKUP(1,'I – Client Intelligence'!I3:I22,'I – Client Intelligence'!G3:G22)</f>
        <v>17.739999999999998</v>
      </c>
    </row>
    <row r="5" spans="1:2" x14ac:dyDescent="0.3">
      <c r="A5" s="1" t="s">
        <v>97</v>
      </c>
      <c r="B5" t="str">
        <f>_xlfn.XLOOKUP(MAX('II – Craftsman Output'!E3:E11),'II – Craftsman Output'!E3:E11,'II – Craftsman Output'!A3:A11)</f>
        <v>Thierry Hermes</v>
      </c>
    </row>
    <row r="6" spans="1:2" x14ac:dyDescent="0.3">
      <c r="A6" s="1" t="s">
        <v>98</v>
      </c>
      <c r="B6">
        <f>_xlfn.XLOOKUP(MAX('II – Craftsman Output'!E3:E11),'II – Craftsman Output'!E3:E11,'II – Craftsman Output'!E3:E11)</f>
        <v>14810</v>
      </c>
    </row>
    <row r="7" spans="1:2" x14ac:dyDescent="0.3">
      <c r="A7" s="1" t="s">
        <v>99</v>
      </c>
      <c r="B7" t="str">
        <f>_xlfn.XLOOKUP(MAX('III – Margin Analysis'!F3:F17),'III – Margin Analysis'!F3:F17,'III – Margin Analysis'!A3:A17)</f>
        <v>Carved Dispatch Satchel</v>
      </c>
    </row>
    <row r="8" spans="1:2" x14ac:dyDescent="0.3">
      <c r="A8" s="1" t="s">
        <v>100</v>
      </c>
      <c r="B8">
        <f>_xlfn.XLOOKUP(MAX('III – Margin Analysis'!F3:F17),'III – Margin Analysis'!F3:F17,'III – Margin Analysis'!F3:F17)</f>
        <v>91.28</v>
      </c>
    </row>
    <row r="9" spans="1:2" x14ac:dyDescent="0.3">
      <c r="A9" s="1" t="s">
        <v>101</v>
      </c>
      <c r="B9">
        <f>SUM('II – Craftsman Output'!E3:E11)</f>
        <v>31005</v>
      </c>
    </row>
    <row r="10" spans="1:2" x14ac:dyDescent="0.3">
      <c r="A10" s="1" t="s">
        <v>102</v>
      </c>
      <c r="B10">
        <f>_xlfn.XLOOKUP(MAX('IV – Revenue &amp; Growth'!C3:C31),'IV – Revenue &amp; Growth'!C3:C31,'IV – Revenue &amp; Growth'!A3:A31)</f>
        <v>1862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A2D81-B25B-4409-B32E-686A4D5CA635}">
  <dimension ref="A2:I22"/>
  <sheetViews>
    <sheetView workbookViewId="0">
      <selection activeCell="G3" sqref="G3"/>
    </sheetView>
  </sheetViews>
  <sheetFormatPr defaultRowHeight="14.4" x14ac:dyDescent="0.3"/>
  <cols>
    <col min="1" max="1" width="29" style="3" customWidth="1"/>
    <col min="2" max="2" width="18.33203125" customWidth="1"/>
    <col min="3" max="3" width="16.88671875" customWidth="1"/>
    <col min="4" max="4" width="11.77734375" customWidth="1"/>
    <col min="5" max="6" width="15.88671875" customWidth="1"/>
    <col min="7" max="8" width="17.33203125" customWidth="1"/>
    <col min="9" max="9" width="11.77734375" customWidth="1"/>
  </cols>
  <sheetData>
    <row r="2" spans="1:9" s="1" customFormat="1" ht="19.95" customHeight="1" x14ac:dyDescent="0.3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3" t="s">
        <v>9</v>
      </c>
      <c r="B3" s="4" t="s">
        <v>29</v>
      </c>
      <c r="C3" s="9" t="s">
        <v>32</v>
      </c>
      <c r="D3" s="13">
        <v>2</v>
      </c>
      <c r="E3" s="14">
        <v>5500</v>
      </c>
      <c r="F3" s="21">
        <f>ROUND(E3/D3,2)</f>
        <v>2750</v>
      </c>
      <c r="G3">
        <f>ROUND((E3/SUM($E$3:$E$22))*100,2)</f>
        <v>17.739999999999998</v>
      </c>
      <c r="H3">
        <f>COUNTIFS($B$3:$B$22,B3,$E$3:$E$22,"&gt;"&amp;E3)+1</f>
        <v>1</v>
      </c>
      <c r="I3" s="8">
        <f>COUNTIF($E$3:$E$22,"&gt;"&amp;E3)+1</f>
        <v>1</v>
      </c>
    </row>
    <row r="4" spans="1:9" x14ac:dyDescent="0.3">
      <c r="A4" s="3" t="s">
        <v>10</v>
      </c>
      <c r="B4" s="4" t="s">
        <v>29</v>
      </c>
      <c r="C4" s="9" t="s">
        <v>33</v>
      </c>
      <c r="D4" s="13">
        <v>2</v>
      </c>
      <c r="E4" s="14">
        <v>3720</v>
      </c>
      <c r="F4" s="21">
        <f t="shared" ref="F4:F22" si="0">ROUND(E4/D4,2)</f>
        <v>1860</v>
      </c>
      <c r="G4">
        <f t="shared" ref="G4:G22" si="1">ROUND((E4/SUM($E$3:$E$22))*100,2)</f>
        <v>12</v>
      </c>
      <c r="H4">
        <f t="shared" ref="H4:H22" si="2">COUNTIFS($B$3:$B$22,B4,$E$3:$E$22,"&gt;"&amp;E4)+1</f>
        <v>2</v>
      </c>
      <c r="I4" s="8">
        <f t="shared" ref="I4:I22" si="3">COUNTIF($E$3:$E$22,"&gt;"&amp;E4)+1</f>
        <v>2</v>
      </c>
    </row>
    <row r="5" spans="1:9" x14ac:dyDescent="0.3">
      <c r="A5" s="3" t="s">
        <v>11</v>
      </c>
      <c r="B5" s="4" t="s">
        <v>29</v>
      </c>
      <c r="C5" s="9" t="s">
        <v>34</v>
      </c>
      <c r="D5" s="13">
        <v>2</v>
      </c>
      <c r="E5" s="14">
        <v>3600</v>
      </c>
      <c r="F5" s="21">
        <f t="shared" si="0"/>
        <v>1800</v>
      </c>
      <c r="G5">
        <f t="shared" si="1"/>
        <v>11.61</v>
      </c>
      <c r="H5">
        <f t="shared" si="2"/>
        <v>3</v>
      </c>
      <c r="I5" s="8">
        <f t="shared" si="3"/>
        <v>3</v>
      </c>
    </row>
    <row r="6" spans="1:9" x14ac:dyDescent="0.3">
      <c r="A6" s="3" t="s">
        <v>12</v>
      </c>
      <c r="B6" s="4" t="s">
        <v>29</v>
      </c>
      <c r="C6" s="9" t="s">
        <v>32</v>
      </c>
      <c r="D6" s="13">
        <v>2</v>
      </c>
      <c r="E6" s="14">
        <v>2770</v>
      </c>
      <c r="F6" s="21">
        <f t="shared" si="0"/>
        <v>1385</v>
      </c>
      <c r="G6">
        <f t="shared" si="1"/>
        <v>8.93</v>
      </c>
      <c r="H6">
        <f t="shared" si="2"/>
        <v>4</v>
      </c>
      <c r="I6" s="8">
        <f t="shared" si="3"/>
        <v>4</v>
      </c>
    </row>
    <row r="7" spans="1:9" x14ac:dyDescent="0.3">
      <c r="A7" s="3" t="s">
        <v>13</v>
      </c>
      <c r="B7" s="5" t="s">
        <v>30</v>
      </c>
      <c r="C7" s="10" t="s">
        <v>32</v>
      </c>
      <c r="D7" s="15">
        <v>2</v>
      </c>
      <c r="E7" s="16">
        <v>1880</v>
      </c>
      <c r="F7" s="21">
        <f t="shared" si="0"/>
        <v>940</v>
      </c>
      <c r="G7">
        <f t="shared" si="1"/>
        <v>6.06</v>
      </c>
      <c r="H7">
        <f t="shared" si="2"/>
        <v>1</v>
      </c>
      <c r="I7" s="8">
        <f t="shared" si="3"/>
        <v>5</v>
      </c>
    </row>
    <row r="8" spans="1:9" x14ac:dyDescent="0.3">
      <c r="A8" s="3" t="s">
        <v>14</v>
      </c>
      <c r="B8" s="5" t="s">
        <v>30</v>
      </c>
      <c r="C8" s="10" t="s">
        <v>32</v>
      </c>
      <c r="D8" s="15">
        <v>2</v>
      </c>
      <c r="E8" s="16">
        <v>1820</v>
      </c>
      <c r="F8" s="21">
        <f t="shared" si="0"/>
        <v>910</v>
      </c>
      <c r="G8">
        <f t="shared" si="1"/>
        <v>5.87</v>
      </c>
      <c r="H8">
        <f t="shared" si="2"/>
        <v>2</v>
      </c>
      <c r="I8" s="8">
        <f t="shared" si="3"/>
        <v>6</v>
      </c>
    </row>
    <row r="9" spans="1:9" x14ac:dyDescent="0.3">
      <c r="A9" s="3" t="s">
        <v>15</v>
      </c>
      <c r="B9" s="6" t="s">
        <v>28</v>
      </c>
      <c r="C9" s="11" t="s">
        <v>35</v>
      </c>
      <c r="D9" s="17">
        <v>2</v>
      </c>
      <c r="E9" s="18">
        <v>1780</v>
      </c>
      <c r="F9" s="21">
        <f t="shared" si="0"/>
        <v>890</v>
      </c>
      <c r="G9">
        <f t="shared" si="1"/>
        <v>5.74</v>
      </c>
      <c r="H9">
        <f t="shared" si="2"/>
        <v>1</v>
      </c>
      <c r="I9" s="8">
        <f t="shared" si="3"/>
        <v>7</v>
      </c>
    </row>
    <row r="10" spans="1:9" x14ac:dyDescent="0.3">
      <c r="A10" s="3" t="s">
        <v>16</v>
      </c>
      <c r="B10" s="4" t="s">
        <v>29</v>
      </c>
      <c r="C10" s="9" t="s">
        <v>36</v>
      </c>
      <c r="D10" s="13">
        <v>1</v>
      </c>
      <c r="E10" s="14">
        <v>1780</v>
      </c>
      <c r="F10" s="21">
        <f t="shared" si="0"/>
        <v>1780</v>
      </c>
      <c r="G10">
        <f t="shared" si="1"/>
        <v>5.74</v>
      </c>
      <c r="H10">
        <f t="shared" si="2"/>
        <v>5</v>
      </c>
      <c r="I10" s="8">
        <f t="shared" si="3"/>
        <v>7</v>
      </c>
    </row>
    <row r="11" spans="1:9" x14ac:dyDescent="0.3">
      <c r="A11" s="3" t="s">
        <v>17</v>
      </c>
      <c r="B11" s="5" t="s">
        <v>30</v>
      </c>
      <c r="C11" s="10" t="s">
        <v>32</v>
      </c>
      <c r="D11" s="15">
        <v>2</v>
      </c>
      <c r="E11" s="16">
        <v>1300</v>
      </c>
      <c r="F11" s="21">
        <f t="shared" si="0"/>
        <v>650</v>
      </c>
      <c r="G11">
        <f t="shared" si="1"/>
        <v>4.1900000000000004</v>
      </c>
      <c r="H11">
        <f t="shared" si="2"/>
        <v>3</v>
      </c>
      <c r="I11" s="8">
        <f t="shared" si="3"/>
        <v>9</v>
      </c>
    </row>
    <row r="12" spans="1:9" x14ac:dyDescent="0.3">
      <c r="A12" s="3" t="s">
        <v>18</v>
      </c>
      <c r="B12" s="5" t="s">
        <v>30</v>
      </c>
      <c r="C12" s="10" t="s">
        <v>37</v>
      </c>
      <c r="D12" s="15">
        <v>2</v>
      </c>
      <c r="E12" s="16">
        <v>1130</v>
      </c>
      <c r="F12" s="21">
        <f t="shared" si="0"/>
        <v>565</v>
      </c>
      <c r="G12">
        <f t="shared" si="1"/>
        <v>3.64</v>
      </c>
      <c r="H12">
        <f t="shared" si="2"/>
        <v>4</v>
      </c>
      <c r="I12" s="8">
        <f t="shared" si="3"/>
        <v>10</v>
      </c>
    </row>
    <row r="13" spans="1:9" x14ac:dyDescent="0.3">
      <c r="A13" s="3" t="s">
        <v>19</v>
      </c>
      <c r="B13" s="5" t="s">
        <v>30</v>
      </c>
      <c r="C13" s="10" t="s">
        <v>38</v>
      </c>
      <c r="D13" s="15">
        <v>1</v>
      </c>
      <c r="E13" s="16">
        <v>1100</v>
      </c>
      <c r="F13" s="21">
        <f t="shared" si="0"/>
        <v>1100</v>
      </c>
      <c r="G13">
        <f t="shared" si="1"/>
        <v>3.55</v>
      </c>
      <c r="H13">
        <f t="shared" si="2"/>
        <v>5</v>
      </c>
      <c r="I13" s="8">
        <f t="shared" si="3"/>
        <v>11</v>
      </c>
    </row>
    <row r="14" spans="1:9" x14ac:dyDescent="0.3">
      <c r="A14" s="3" t="s">
        <v>20</v>
      </c>
      <c r="B14" s="5" t="s">
        <v>30</v>
      </c>
      <c r="C14" s="10" t="s">
        <v>35</v>
      </c>
      <c r="D14" s="15">
        <v>2</v>
      </c>
      <c r="E14" s="16">
        <v>780</v>
      </c>
      <c r="F14" s="21">
        <f t="shared" si="0"/>
        <v>390</v>
      </c>
      <c r="G14">
        <f t="shared" si="1"/>
        <v>2.52</v>
      </c>
      <c r="H14">
        <f t="shared" si="2"/>
        <v>6</v>
      </c>
      <c r="I14" s="8">
        <f t="shared" si="3"/>
        <v>12</v>
      </c>
    </row>
    <row r="15" spans="1:9" x14ac:dyDescent="0.3">
      <c r="A15" s="3" t="s">
        <v>21</v>
      </c>
      <c r="B15" s="5" t="s">
        <v>30</v>
      </c>
      <c r="C15" s="10" t="s">
        <v>32</v>
      </c>
      <c r="D15" s="15">
        <v>1</v>
      </c>
      <c r="E15" s="16">
        <v>490</v>
      </c>
      <c r="F15" s="21">
        <f t="shared" si="0"/>
        <v>490</v>
      </c>
      <c r="G15">
        <f t="shared" si="1"/>
        <v>1.58</v>
      </c>
      <c r="H15">
        <f t="shared" si="2"/>
        <v>8</v>
      </c>
      <c r="I15" s="8">
        <f t="shared" si="3"/>
        <v>17</v>
      </c>
    </row>
    <row r="16" spans="1:9" x14ac:dyDescent="0.3">
      <c r="A16" s="3" t="s">
        <v>22</v>
      </c>
      <c r="B16" s="7" t="s">
        <v>31</v>
      </c>
      <c r="C16" s="12" t="s">
        <v>32</v>
      </c>
      <c r="D16" s="19">
        <v>1</v>
      </c>
      <c r="E16" s="20">
        <v>560</v>
      </c>
      <c r="F16" s="21">
        <f t="shared" si="0"/>
        <v>560</v>
      </c>
      <c r="G16">
        <f t="shared" si="1"/>
        <v>1.81</v>
      </c>
      <c r="H16">
        <f t="shared" si="2"/>
        <v>1</v>
      </c>
      <c r="I16" s="8">
        <f t="shared" si="3"/>
        <v>15</v>
      </c>
    </row>
    <row r="17" spans="1:9" x14ac:dyDescent="0.3">
      <c r="A17" s="3" t="s">
        <v>23</v>
      </c>
      <c r="B17" s="5" t="s">
        <v>30</v>
      </c>
      <c r="C17" s="10" t="s">
        <v>32</v>
      </c>
      <c r="D17" s="15">
        <v>1</v>
      </c>
      <c r="E17" s="16">
        <v>580</v>
      </c>
      <c r="F17" s="21">
        <f t="shared" si="0"/>
        <v>580</v>
      </c>
      <c r="G17">
        <f t="shared" si="1"/>
        <v>1.87</v>
      </c>
      <c r="H17">
        <f t="shared" si="2"/>
        <v>7</v>
      </c>
      <c r="I17" s="8">
        <f t="shared" si="3"/>
        <v>14</v>
      </c>
    </row>
    <row r="18" spans="1:9" x14ac:dyDescent="0.3">
      <c r="A18" s="3" t="s">
        <v>39</v>
      </c>
      <c r="B18" s="6" t="s">
        <v>28</v>
      </c>
      <c r="C18" s="11" t="s">
        <v>32</v>
      </c>
      <c r="D18" s="17">
        <v>1</v>
      </c>
      <c r="E18" s="18">
        <v>360</v>
      </c>
      <c r="F18" s="21">
        <f t="shared" si="0"/>
        <v>360</v>
      </c>
      <c r="G18">
        <f t="shared" si="1"/>
        <v>1.1599999999999999</v>
      </c>
      <c r="H18">
        <f t="shared" si="2"/>
        <v>4</v>
      </c>
      <c r="I18" s="8">
        <f t="shared" si="3"/>
        <v>18</v>
      </c>
    </row>
    <row r="19" spans="1:9" x14ac:dyDescent="0.3">
      <c r="A19" s="3" t="s">
        <v>24</v>
      </c>
      <c r="B19" s="6" t="s">
        <v>28</v>
      </c>
      <c r="C19" s="11" t="s">
        <v>32</v>
      </c>
      <c r="D19" s="17">
        <v>1</v>
      </c>
      <c r="E19" s="18">
        <v>540</v>
      </c>
      <c r="F19" s="21">
        <f t="shared" si="0"/>
        <v>540</v>
      </c>
      <c r="G19">
        <f t="shared" si="1"/>
        <v>1.74</v>
      </c>
      <c r="H19">
        <f t="shared" si="2"/>
        <v>3</v>
      </c>
      <c r="I19" s="8">
        <f t="shared" si="3"/>
        <v>16</v>
      </c>
    </row>
    <row r="20" spans="1:9" x14ac:dyDescent="0.3">
      <c r="A20" s="3" t="s">
        <v>25</v>
      </c>
      <c r="B20" s="7" t="s">
        <v>31</v>
      </c>
      <c r="C20" s="12" t="s">
        <v>32</v>
      </c>
      <c r="D20" s="19">
        <v>1</v>
      </c>
      <c r="E20" s="20">
        <v>310</v>
      </c>
      <c r="F20" s="21">
        <f t="shared" si="0"/>
        <v>310</v>
      </c>
      <c r="G20">
        <f t="shared" si="1"/>
        <v>1</v>
      </c>
      <c r="H20">
        <f t="shared" si="2"/>
        <v>2</v>
      </c>
      <c r="I20" s="8">
        <f t="shared" si="3"/>
        <v>19</v>
      </c>
    </row>
    <row r="21" spans="1:9" x14ac:dyDescent="0.3">
      <c r="A21" s="3" t="s">
        <v>26</v>
      </c>
      <c r="B21" s="7" t="s">
        <v>31</v>
      </c>
      <c r="C21" s="12" t="s">
        <v>32</v>
      </c>
      <c r="D21" s="19">
        <v>1</v>
      </c>
      <c r="E21" s="20">
        <v>285</v>
      </c>
      <c r="F21" s="21">
        <f t="shared" si="0"/>
        <v>285</v>
      </c>
      <c r="G21">
        <f t="shared" si="1"/>
        <v>0.92</v>
      </c>
      <c r="H21">
        <f t="shared" si="2"/>
        <v>3</v>
      </c>
      <c r="I21" s="8">
        <f t="shared" si="3"/>
        <v>20</v>
      </c>
    </row>
    <row r="22" spans="1:9" x14ac:dyDescent="0.3">
      <c r="A22" s="3" t="s">
        <v>27</v>
      </c>
      <c r="B22" s="6" t="s">
        <v>28</v>
      </c>
      <c r="C22" s="11" t="s">
        <v>37</v>
      </c>
      <c r="D22" s="17">
        <v>1</v>
      </c>
      <c r="E22" s="18">
        <v>720</v>
      </c>
      <c r="F22" s="21">
        <f t="shared" si="0"/>
        <v>720</v>
      </c>
      <c r="G22">
        <f t="shared" si="1"/>
        <v>2.3199999999999998</v>
      </c>
      <c r="H22">
        <f t="shared" si="2"/>
        <v>2</v>
      </c>
      <c r="I22" s="8">
        <f t="shared" si="3"/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F8BC-6EB9-41F5-A3A0-FCB78F454552}">
  <dimension ref="A2:H11"/>
  <sheetViews>
    <sheetView workbookViewId="0">
      <selection activeCell="H3" sqref="H3:H11"/>
    </sheetView>
  </sheetViews>
  <sheetFormatPr defaultRowHeight="14.4" x14ac:dyDescent="0.3"/>
  <cols>
    <col min="1" max="1" width="17.77734375" customWidth="1"/>
    <col min="2" max="2" width="28.5546875" customWidth="1"/>
    <col min="3" max="8" width="17.77734375" customWidth="1"/>
    <col min="9" max="9" width="9.21875" customWidth="1"/>
  </cols>
  <sheetData>
    <row r="2" spans="1:8" x14ac:dyDescent="0.3">
      <c r="A2" s="1" t="s">
        <v>40</v>
      </c>
      <c r="B2" s="1" t="s">
        <v>41</v>
      </c>
      <c r="C2" s="1" t="s">
        <v>42</v>
      </c>
      <c r="D2" s="1" t="s">
        <v>3</v>
      </c>
      <c r="E2" s="1" t="s">
        <v>64</v>
      </c>
      <c r="F2" s="1" t="s">
        <v>43</v>
      </c>
      <c r="G2" s="1" t="s">
        <v>44</v>
      </c>
      <c r="H2" s="1" t="s">
        <v>45</v>
      </c>
    </row>
    <row r="3" spans="1:8" x14ac:dyDescent="0.3">
      <c r="A3" t="s">
        <v>46</v>
      </c>
      <c r="B3" t="s">
        <v>55</v>
      </c>
      <c r="C3">
        <v>1837</v>
      </c>
      <c r="D3">
        <v>8</v>
      </c>
      <c r="E3">
        <v>14810</v>
      </c>
      <c r="F3">
        <v>243</v>
      </c>
      <c r="G3">
        <f>ROUND(E3/F3,2)</f>
        <v>60.95</v>
      </c>
      <c r="H3">
        <f>ROUND((E3/SUM($E$3:$E$11))*100,2)</f>
        <v>47.77</v>
      </c>
    </row>
    <row r="4" spans="1:8" x14ac:dyDescent="0.3">
      <c r="A4" t="s">
        <v>47</v>
      </c>
      <c r="B4" t="s">
        <v>56</v>
      </c>
      <c r="C4">
        <v>1848</v>
      </c>
      <c r="D4">
        <v>3</v>
      </c>
      <c r="E4">
        <v>4320</v>
      </c>
      <c r="F4">
        <v>62</v>
      </c>
      <c r="G4">
        <f t="shared" ref="G4:G11" si="0">ROUND(E4/F4,2)</f>
        <v>69.680000000000007</v>
      </c>
      <c r="H4">
        <f t="shared" ref="H4:H11" si="1">ROUND((E4/SUM($E$3:$E$11))*100,2)</f>
        <v>13.93</v>
      </c>
    </row>
    <row r="5" spans="1:8" x14ac:dyDescent="0.3">
      <c r="A5" t="s">
        <v>48</v>
      </c>
      <c r="B5" t="s">
        <v>57</v>
      </c>
      <c r="C5">
        <v>1838</v>
      </c>
      <c r="D5">
        <v>4</v>
      </c>
      <c r="E5">
        <v>2690</v>
      </c>
      <c r="F5">
        <v>60</v>
      </c>
      <c r="G5">
        <f t="shared" si="0"/>
        <v>44.83</v>
      </c>
      <c r="H5">
        <f t="shared" si="1"/>
        <v>8.68</v>
      </c>
    </row>
    <row r="6" spans="1:8" x14ac:dyDescent="0.3">
      <c r="A6" t="s">
        <v>49</v>
      </c>
      <c r="B6" t="s">
        <v>58</v>
      </c>
      <c r="C6">
        <v>1840</v>
      </c>
      <c r="D6">
        <v>4</v>
      </c>
      <c r="E6">
        <v>2370</v>
      </c>
      <c r="F6">
        <v>51</v>
      </c>
      <c r="G6">
        <f t="shared" si="0"/>
        <v>46.47</v>
      </c>
      <c r="H6">
        <f t="shared" si="1"/>
        <v>7.64</v>
      </c>
    </row>
    <row r="7" spans="1:8" x14ac:dyDescent="0.3">
      <c r="A7" t="s">
        <v>50</v>
      </c>
      <c r="B7" t="s">
        <v>59</v>
      </c>
      <c r="C7">
        <v>1842</v>
      </c>
      <c r="D7">
        <v>4</v>
      </c>
      <c r="E7">
        <v>2310</v>
      </c>
      <c r="F7">
        <v>60</v>
      </c>
      <c r="G7">
        <f t="shared" si="0"/>
        <v>38.5</v>
      </c>
      <c r="H7">
        <f t="shared" si="1"/>
        <v>7.45</v>
      </c>
    </row>
    <row r="8" spans="1:8" x14ac:dyDescent="0.3">
      <c r="A8" t="s">
        <v>51</v>
      </c>
      <c r="B8" t="s">
        <v>60</v>
      </c>
      <c r="C8">
        <v>1851</v>
      </c>
      <c r="D8">
        <v>2</v>
      </c>
      <c r="E8">
        <v>1560</v>
      </c>
      <c r="F8">
        <v>39</v>
      </c>
      <c r="G8">
        <f t="shared" si="0"/>
        <v>40</v>
      </c>
      <c r="H8">
        <f t="shared" si="1"/>
        <v>5.03</v>
      </c>
    </row>
    <row r="9" spans="1:8" x14ac:dyDescent="0.3">
      <c r="A9" t="s">
        <v>52</v>
      </c>
      <c r="B9" t="s">
        <v>61</v>
      </c>
      <c r="C9">
        <v>1857</v>
      </c>
      <c r="D9">
        <v>1</v>
      </c>
      <c r="E9">
        <v>1400</v>
      </c>
      <c r="F9">
        <v>20</v>
      </c>
      <c r="G9">
        <f t="shared" si="0"/>
        <v>70</v>
      </c>
      <c r="H9">
        <f t="shared" si="1"/>
        <v>4.5199999999999996</v>
      </c>
    </row>
    <row r="10" spans="1:8" x14ac:dyDescent="0.3">
      <c r="A10" t="s">
        <v>53</v>
      </c>
      <c r="B10" t="s">
        <v>62</v>
      </c>
      <c r="C10">
        <v>1845</v>
      </c>
      <c r="D10">
        <v>3</v>
      </c>
      <c r="E10">
        <v>1185</v>
      </c>
      <c r="F10">
        <v>28</v>
      </c>
      <c r="G10">
        <f t="shared" si="0"/>
        <v>42.32</v>
      </c>
      <c r="H10">
        <f t="shared" si="1"/>
        <v>3.82</v>
      </c>
    </row>
    <row r="11" spans="1:8" x14ac:dyDescent="0.3">
      <c r="A11" t="s">
        <v>54</v>
      </c>
      <c r="B11" t="s">
        <v>63</v>
      </c>
      <c r="C11">
        <v>1854</v>
      </c>
      <c r="D11">
        <v>1</v>
      </c>
      <c r="E11">
        <v>360</v>
      </c>
      <c r="F11">
        <v>9</v>
      </c>
      <c r="G11">
        <f t="shared" si="0"/>
        <v>40</v>
      </c>
      <c r="H11">
        <f t="shared" si="1"/>
        <v>1.1599999999999999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50477-209B-48F6-B553-B2BE838F8CFB}">
  <dimension ref="A2:H17"/>
  <sheetViews>
    <sheetView workbookViewId="0">
      <selection activeCell="J23" sqref="J23"/>
    </sheetView>
  </sheetViews>
  <sheetFormatPr defaultRowHeight="14.4" x14ac:dyDescent="0.3"/>
  <cols>
    <col min="1" max="1" width="24.88671875" customWidth="1"/>
    <col min="2" max="3" width="16.88671875" customWidth="1"/>
    <col min="4" max="4" width="19.109375" customWidth="1"/>
    <col min="5" max="5" width="19.33203125" customWidth="1"/>
    <col min="6" max="7" width="16.88671875" customWidth="1"/>
    <col min="8" max="8" width="13.5546875" customWidth="1"/>
  </cols>
  <sheetData>
    <row r="2" spans="1:8" x14ac:dyDescent="0.3">
      <c r="A2" s="1" t="s">
        <v>65</v>
      </c>
      <c r="B2" s="1" t="s">
        <v>3</v>
      </c>
      <c r="C2" s="1" t="s">
        <v>66</v>
      </c>
      <c r="D2" s="1" t="s">
        <v>86</v>
      </c>
      <c r="E2" s="1" t="s">
        <v>67</v>
      </c>
      <c r="F2" s="1" t="s">
        <v>68</v>
      </c>
      <c r="G2" s="1" t="s">
        <v>69</v>
      </c>
      <c r="H2" s="1" t="s">
        <v>70</v>
      </c>
    </row>
    <row r="3" spans="1:8" x14ac:dyDescent="0.3">
      <c r="A3" t="s">
        <v>71</v>
      </c>
      <c r="B3">
        <v>1</v>
      </c>
      <c r="C3" s="21">
        <v>430</v>
      </c>
      <c r="D3" s="21">
        <v>37.5</v>
      </c>
      <c r="E3" s="21">
        <f>ROUND(C3-D3,2)</f>
        <v>392.5</v>
      </c>
      <c r="F3">
        <f>ROUND((E3/C3)*100,2)</f>
        <v>91.28</v>
      </c>
      <c r="G3" t="str" cm="1">
        <f t="array" ref="G3">_xlfn.IFS(F3&gt;=90,"Premium",F3&gt;=85,"Strong",F3&lt;85,"Standard")</f>
        <v>Premium</v>
      </c>
      <c r="H3">
        <f>RANK(F3,$F$3:$F$17,0)</f>
        <v>1</v>
      </c>
    </row>
    <row r="4" spans="1:8" x14ac:dyDescent="0.3">
      <c r="A4" t="s">
        <v>72</v>
      </c>
      <c r="B4">
        <v>1</v>
      </c>
      <c r="C4" s="21">
        <v>540</v>
      </c>
      <c r="D4" s="21">
        <v>47.25</v>
      </c>
      <c r="E4" s="21">
        <f t="shared" ref="E4:E17" si="0">ROUND(C4-D4,2)</f>
        <v>492.75</v>
      </c>
      <c r="F4">
        <f t="shared" ref="F4:F17" si="1">ROUND((E4/C4)*100,2)</f>
        <v>91.25</v>
      </c>
      <c r="G4" t="str" cm="1">
        <f t="array" ref="G4">_xlfn.IFS(F4&gt;=90,"Premium",F4&gt;=85,"Strong",F4&lt;85,"Standard")</f>
        <v>Premium</v>
      </c>
      <c r="H4">
        <f t="shared" ref="H4:H17" si="2">RANK(F4,$F$3:$F$17,0)</f>
        <v>2</v>
      </c>
    </row>
    <row r="5" spans="1:8" x14ac:dyDescent="0.3">
      <c r="A5" t="s">
        <v>73</v>
      </c>
      <c r="B5">
        <v>1</v>
      </c>
      <c r="C5" s="21">
        <v>840</v>
      </c>
      <c r="D5" s="21">
        <v>81</v>
      </c>
      <c r="E5" s="21">
        <f t="shared" si="0"/>
        <v>759</v>
      </c>
      <c r="F5">
        <f t="shared" si="1"/>
        <v>90.36</v>
      </c>
      <c r="G5" t="str" cm="1">
        <f t="array" ref="G5">_xlfn.IFS(F5&gt;=90,"Premium",F5&gt;=85,"Strong",F5&lt;85,"Standard")</f>
        <v>Premium</v>
      </c>
      <c r="H5">
        <f t="shared" si="2"/>
        <v>3</v>
      </c>
    </row>
    <row r="6" spans="1:8" x14ac:dyDescent="0.3">
      <c r="A6" t="s">
        <v>74</v>
      </c>
      <c r="B6">
        <v>1</v>
      </c>
      <c r="C6" s="21">
        <v>350</v>
      </c>
      <c r="D6" s="21">
        <v>34</v>
      </c>
      <c r="E6" s="21">
        <f t="shared" si="0"/>
        <v>316</v>
      </c>
      <c r="F6">
        <f t="shared" si="1"/>
        <v>90.29</v>
      </c>
      <c r="G6" t="str" cm="1">
        <f t="array" ref="G6">_xlfn.IFS(F6&gt;=90,"Premium",F6&gt;=85,"Strong",F6&lt;85,"Standard")</f>
        <v>Premium</v>
      </c>
      <c r="H6">
        <f t="shared" si="2"/>
        <v>4</v>
      </c>
    </row>
    <row r="7" spans="1:8" x14ac:dyDescent="0.3">
      <c r="A7" t="s">
        <v>75</v>
      </c>
      <c r="B7">
        <v>1</v>
      </c>
      <c r="C7" s="21">
        <v>310</v>
      </c>
      <c r="D7" s="21">
        <v>34</v>
      </c>
      <c r="E7" s="21">
        <f t="shared" si="0"/>
        <v>276</v>
      </c>
      <c r="F7">
        <f t="shared" si="1"/>
        <v>89.03</v>
      </c>
      <c r="G7" t="str" cm="1">
        <f t="array" ref="G7">_xlfn.IFS(F7&gt;=90,"Premium",F7&gt;=85,"Strong",F7&lt;85,"Standard")</f>
        <v>Strong</v>
      </c>
      <c r="H7">
        <f t="shared" si="2"/>
        <v>5</v>
      </c>
    </row>
    <row r="8" spans="1:8" x14ac:dyDescent="0.3">
      <c r="A8" t="s">
        <v>76</v>
      </c>
      <c r="B8">
        <v>1</v>
      </c>
      <c r="C8" s="21">
        <v>980</v>
      </c>
      <c r="D8" s="21">
        <v>113.5</v>
      </c>
      <c r="E8" s="21">
        <f t="shared" si="0"/>
        <v>866.5</v>
      </c>
      <c r="F8">
        <f t="shared" si="1"/>
        <v>88.42</v>
      </c>
      <c r="G8" t="str" cm="1">
        <f t="array" ref="G8">_xlfn.IFS(F8&gt;=90,"Premium",F8&gt;=85,"Strong",F8&lt;85,"Standard")</f>
        <v>Strong</v>
      </c>
      <c r="H8">
        <f t="shared" si="2"/>
        <v>6</v>
      </c>
    </row>
    <row r="9" spans="1:8" x14ac:dyDescent="0.3">
      <c r="A9" t="s">
        <v>77</v>
      </c>
      <c r="B9">
        <v>1</v>
      </c>
      <c r="C9" s="21">
        <v>680</v>
      </c>
      <c r="D9" s="21">
        <v>81</v>
      </c>
      <c r="E9" s="21">
        <f t="shared" si="0"/>
        <v>599</v>
      </c>
      <c r="F9">
        <f t="shared" si="1"/>
        <v>88.09</v>
      </c>
      <c r="G9" t="str" cm="1">
        <f t="array" ref="G9">_xlfn.IFS(F9&gt;=90,"Premium",F9&gt;=85,"Strong",F9&lt;85,"Standard")</f>
        <v>Strong</v>
      </c>
      <c r="H9">
        <f t="shared" si="2"/>
        <v>7</v>
      </c>
    </row>
    <row r="10" spans="1:8" x14ac:dyDescent="0.3">
      <c r="A10" t="s">
        <v>78</v>
      </c>
      <c r="B10">
        <v>1</v>
      </c>
      <c r="C10" s="21">
        <v>490</v>
      </c>
      <c r="D10" s="21">
        <v>60</v>
      </c>
      <c r="E10" s="21">
        <f t="shared" si="0"/>
        <v>430</v>
      </c>
      <c r="F10">
        <f t="shared" si="1"/>
        <v>87.76</v>
      </c>
      <c r="G10" t="str" cm="1">
        <f t="array" ref="G10">_xlfn.IFS(F10&gt;=90,"Premium",F10&gt;=85,"Strong",F10&lt;85,"Standard")</f>
        <v>Strong</v>
      </c>
      <c r="H10">
        <f t="shared" si="2"/>
        <v>8</v>
      </c>
    </row>
    <row r="11" spans="1:8" x14ac:dyDescent="0.3">
      <c r="A11" t="s">
        <v>79</v>
      </c>
      <c r="B11">
        <v>1</v>
      </c>
      <c r="C11" s="21">
        <v>620</v>
      </c>
      <c r="D11" s="21">
        <v>77</v>
      </c>
      <c r="E11" s="21">
        <f t="shared" si="0"/>
        <v>543</v>
      </c>
      <c r="F11">
        <f t="shared" si="1"/>
        <v>87.58</v>
      </c>
      <c r="G11" t="str" cm="1">
        <f t="array" ref="G11">_xlfn.IFS(F11&gt;=90,"Premium",F11&gt;=85,"Strong",F11&lt;85,"Standard")</f>
        <v>Strong</v>
      </c>
      <c r="H11">
        <f t="shared" si="2"/>
        <v>9</v>
      </c>
    </row>
    <row r="12" spans="1:8" x14ac:dyDescent="0.3">
      <c r="A12" t="s">
        <v>80</v>
      </c>
      <c r="B12">
        <v>1</v>
      </c>
      <c r="C12" s="21">
        <v>1850</v>
      </c>
      <c r="D12" s="21">
        <v>264</v>
      </c>
      <c r="E12" s="21">
        <f t="shared" si="0"/>
        <v>1586</v>
      </c>
      <c r="F12">
        <f t="shared" si="1"/>
        <v>85.73</v>
      </c>
      <c r="G12" t="str" cm="1">
        <f t="array" ref="G12">_xlfn.IFS(F12&gt;=90,"Premium",F12&gt;=85,"Strong",F12&lt;85,"Standard")</f>
        <v>Strong</v>
      </c>
      <c r="H12">
        <f t="shared" si="2"/>
        <v>11</v>
      </c>
    </row>
    <row r="13" spans="1:8" x14ac:dyDescent="0.3">
      <c r="A13" t="s">
        <v>81</v>
      </c>
      <c r="B13">
        <v>1</v>
      </c>
      <c r="C13" s="21">
        <v>1340</v>
      </c>
      <c r="D13" s="21">
        <v>187</v>
      </c>
      <c r="E13" s="21">
        <f t="shared" si="0"/>
        <v>1153</v>
      </c>
      <c r="F13">
        <f t="shared" si="1"/>
        <v>86.04</v>
      </c>
      <c r="G13" t="str" cm="1">
        <f t="array" ref="G13">_xlfn.IFS(F13&gt;=90,"Premium",F13&gt;=85,"Strong",F13&lt;85,"Standard")</f>
        <v>Strong</v>
      </c>
      <c r="H13">
        <f t="shared" si="2"/>
        <v>10</v>
      </c>
    </row>
    <row r="14" spans="1:8" x14ac:dyDescent="0.3">
      <c r="A14" t="s">
        <v>82</v>
      </c>
      <c r="B14">
        <v>1</v>
      </c>
      <c r="C14" s="21">
        <v>720</v>
      </c>
      <c r="D14" s="21">
        <v>108.5</v>
      </c>
      <c r="E14" s="21">
        <f t="shared" si="0"/>
        <v>611.5</v>
      </c>
      <c r="F14">
        <f t="shared" si="1"/>
        <v>84.93</v>
      </c>
      <c r="G14" t="str" cm="1">
        <f t="array" ref="G14">_xlfn.IFS(F14&gt;=90,"Premium",F14&gt;=85,"Strong",F14&lt;85,"Standard")</f>
        <v>Standard</v>
      </c>
      <c r="H14">
        <f t="shared" si="2"/>
        <v>12</v>
      </c>
    </row>
    <row r="15" spans="1:8" x14ac:dyDescent="0.3">
      <c r="A15" t="s">
        <v>83</v>
      </c>
      <c r="B15">
        <v>1</v>
      </c>
      <c r="C15" s="21">
        <v>580</v>
      </c>
      <c r="D15" s="21">
        <v>93.5</v>
      </c>
      <c r="E15" s="21">
        <f t="shared" si="0"/>
        <v>486.5</v>
      </c>
      <c r="F15">
        <f t="shared" si="1"/>
        <v>83.88</v>
      </c>
      <c r="G15" t="str" cm="1">
        <f t="array" ref="G15">_xlfn.IFS(F15&gt;=90,"Premium",F15&gt;=85,"Strong",F15&lt;85,"Standard")</f>
        <v>Standard</v>
      </c>
      <c r="H15">
        <f t="shared" si="2"/>
        <v>13</v>
      </c>
    </row>
    <row r="16" spans="1:8" x14ac:dyDescent="0.3">
      <c r="A16" t="s">
        <v>84</v>
      </c>
      <c r="B16">
        <v>1</v>
      </c>
      <c r="C16" s="21">
        <v>1100</v>
      </c>
      <c r="D16" s="21">
        <v>233</v>
      </c>
      <c r="E16" s="21">
        <f t="shared" si="0"/>
        <v>867</v>
      </c>
      <c r="F16">
        <f t="shared" si="1"/>
        <v>78.819999999999993</v>
      </c>
      <c r="G16" t="str" cm="1">
        <f t="array" ref="G16">_xlfn.IFS(F16&gt;=90,"Premium",F16&gt;=85,"Strong",F16&lt;85,"Standard")</f>
        <v>Standard</v>
      </c>
      <c r="H16">
        <f t="shared" si="2"/>
        <v>14</v>
      </c>
    </row>
    <row r="17" spans="1:8" x14ac:dyDescent="0.3">
      <c r="A17" t="s">
        <v>85</v>
      </c>
      <c r="B17">
        <v>1</v>
      </c>
      <c r="C17" s="21">
        <v>920</v>
      </c>
      <c r="D17" s="21">
        <v>210.5</v>
      </c>
      <c r="E17" s="21">
        <f t="shared" si="0"/>
        <v>709.5</v>
      </c>
      <c r="F17">
        <f t="shared" si="1"/>
        <v>77.12</v>
      </c>
      <c r="G17" t="str" cm="1">
        <f t="array" ref="G17">_xlfn.IFS(F17&gt;=90,"Premium",F17&gt;=85,"Strong",F17&lt;85,"Standard")</f>
        <v>Standard</v>
      </c>
      <c r="H17">
        <f t="shared" si="2"/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9194-E872-4E36-B7DC-AD85A2CD3A2B}">
  <dimension ref="A2:H31"/>
  <sheetViews>
    <sheetView zoomScale="80" zoomScaleNormal="80" workbookViewId="0">
      <selection activeCell="I10" sqref="I10"/>
    </sheetView>
  </sheetViews>
  <sheetFormatPr defaultRowHeight="14.4" x14ac:dyDescent="0.3"/>
  <cols>
    <col min="1" max="1" width="17.6640625" customWidth="1"/>
    <col min="2" max="7" width="25.44140625" customWidth="1"/>
    <col min="8" max="8" width="95.6640625" customWidth="1"/>
  </cols>
  <sheetData>
    <row r="2" spans="1:8" x14ac:dyDescent="0.3">
      <c r="A2" s="22" t="s">
        <v>87</v>
      </c>
      <c r="B2" s="22" t="s">
        <v>3</v>
      </c>
      <c r="C2" s="22" t="s">
        <v>88</v>
      </c>
      <c r="D2" s="22" t="s">
        <v>89</v>
      </c>
      <c r="E2" s="22" t="s">
        <v>90</v>
      </c>
      <c r="F2" s="22" t="s">
        <v>91</v>
      </c>
      <c r="G2" s="22" t="s">
        <v>92</v>
      </c>
      <c r="H2" s="22" t="s">
        <v>93</v>
      </c>
    </row>
    <row r="3" spans="1:8" x14ac:dyDescent="0.3">
      <c r="A3">
        <v>1838</v>
      </c>
      <c r="B3">
        <v>1</v>
      </c>
      <c r="C3">
        <v>980</v>
      </c>
      <c r="D3" t="str">
        <f>IF(ROW()=3,"",C2)</f>
        <v/>
      </c>
      <c r="E3">
        <f>SUM($C$3:C3)</f>
        <v>980</v>
      </c>
      <c r="F3" t="str">
        <f>IF(D3="","",ROUND(((C3-D3)/D3)*100,2))</f>
        <v/>
      </c>
      <c r="G3" t="str" cm="1">
        <f t="array" ref="G3">_xlfn.IFS(AND(A3&gt;=1837,A3&lt;=1849),"Founding Decade",AND(A3&gt;=1850,A3&lt;=1859),"Consolidation",AND(A3&gt;=1860,A3&lt;=1869),"Expansion",AND(A3&gt;=1870,A3&lt;=1880),"Maturity")</f>
        <v>Founding Decade</v>
      </c>
      <c r="H3" s="23"/>
    </row>
    <row r="4" spans="1:8" x14ac:dyDescent="0.3">
      <c r="A4">
        <v>1840</v>
      </c>
      <c r="B4">
        <v>1</v>
      </c>
      <c r="C4">
        <v>1850</v>
      </c>
      <c r="D4">
        <f t="shared" ref="D4:D31" si="0">IF(ROW()=3,"",C3)</f>
        <v>980</v>
      </c>
      <c r="E4">
        <f>SUM($C$3:C4)</f>
        <v>2830</v>
      </c>
      <c r="F4">
        <f t="shared" ref="F4:F31" si="1">IF(D4="","",ROUND(((C4-D4)/D4)*100,2))</f>
        <v>88.78</v>
      </c>
      <c r="G4" t="str" cm="1">
        <f t="array" ref="G4">_xlfn.IFS(AND(A4&gt;=1837,A4&lt;=1849),"Founding Decade",AND(A4&gt;=1850,A4&lt;=1859),"Consolidation",AND(A4&gt;=1860,A4&lt;=1869),"Expansion",AND(A4&gt;=1870,A4&lt;=1880),"Maturity")</f>
        <v>Founding Decade</v>
      </c>
      <c r="H4" s="23"/>
    </row>
    <row r="5" spans="1:8" x14ac:dyDescent="0.3">
      <c r="A5">
        <v>1842</v>
      </c>
      <c r="B5">
        <v>1</v>
      </c>
      <c r="C5">
        <v>620</v>
      </c>
      <c r="D5">
        <f t="shared" si="0"/>
        <v>1850</v>
      </c>
      <c r="E5">
        <f>SUM($C$3:C5)</f>
        <v>3450</v>
      </c>
      <c r="F5">
        <f t="shared" si="1"/>
        <v>-66.489999999999995</v>
      </c>
      <c r="G5" t="str" cm="1">
        <f t="array" ref="G5">_xlfn.IFS(AND(A5&gt;=1837,A5&lt;=1849),"Founding Decade",AND(A5&gt;=1850,A5&lt;=1859),"Consolidation",AND(A5&gt;=1860,A5&lt;=1869),"Expansion",AND(A5&gt;=1870,A5&lt;=1880),"Maturity")</f>
        <v>Founding Decade</v>
      </c>
      <c r="H5" s="23"/>
    </row>
    <row r="6" spans="1:8" x14ac:dyDescent="0.3">
      <c r="A6">
        <v>1843</v>
      </c>
      <c r="B6">
        <v>1</v>
      </c>
      <c r="C6">
        <v>540</v>
      </c>
      <c r="D6">
        <f t="shared" si="0"/>
        <v>620</v>
      </c>
      <c r="E6">
        <f>SUM($C$3:C6)</f>
        <v>3990</v>
      </c>
      <c r="F6">
        <f t="shared" si="1"/>
        <v>-12.9</v>
      </c>
      <c r="G6" t="str" cm="1">
        <f t="array" ref="G6">_xlfn.IFS(AND(A6&gt;=1837,A6&lt;=1849),"Founding Decade",AND(A6&gt;=1850,A6&lt;=1859),"Consolidation",AND(A6&gt;=1860,A6&lt;=1869),"Expansion",AND(A6&gt;=1870,A6&lt;=1880),"Maturity")</f>
        <v>Founding Decade</v>
      </c>
      <c r="H6" s="23"/>
    </row>
    <row r="7" spans="1:8" x14ac:dyDescent="0.3">
      <c r="A7">
        <v>1845</v>
      </c>
      <c r="B7">
        <v>1</v>
      </c>
      <c r="C7">
        <v>430</v>
      </c>
      <c r="D7">
        <f t="shared" si="0"/>
        <v>540</v>
      </c>
      <c r="E7">
        <f>SUM($C$3:C7)</f>
        <v>4420</v>
      </c>
      <c r="F7">
        <f t="shared" si="1"/>
        <v>-20.37</v>
      </c>
      <c r="G7" t="str" cm="1">
        <f t="array" ref="G7">_xlfn.IFS(AND(A7&gt;=1837,A7&lt;=1849),"Founding Decade",AND(A7&gt;=1850,A7&lt;=1859),"Consolidation",AND(A7&gt;=1860,A7&lt;=1869),"Expansion",AND(A7&gt;=1870,A7&lt;=1880),"Maturity")</f>
        <v>Founding Decade</v>
      </c>
      <c r="H7" s="23"/>
    </row>
    <row r="8" spans="1:8" x14ac:dyDescent="0.3">
      <c r="A8">
        <v>1847</v>
      </c>
      <c r="B8">
        <v>1</v>
      </c>
      <c r="C8">
        <v>1340</v>
      </c>
      <c r="D8">
        <f t="shared" si="0"/>
        <v>430</v>
      </c>
      <c r="E8">
        <f>SUM($C$3:C8)</f>
        <v>5760</v>
      </c>
      <c r="F8">
        <f t="shared" si="1"/>
        <v>211.63</v>
      </c>
      <c r="G8" t="str" cm="1">
        <f t="array" ref="G8">_xlfn.IFS(AND(A8&gt;=1837,A8&lt;=1849),"Founding Decade",AND(A8&gt;=1850,A8&lt;=1859),"Consolidation",AND(A8&gt;=1860,A8&lt;=1869),"Expansion",AND(A8&gt;=1870,A8&lt;=1880),"Maturity")</f>
        <v>Founding Decade</v>
      </c>
      <c r="H8" s="23"/>
    </row>
    <row r="9" spans="1:8" x14ac:dyDescent="0.3">
      <c r="A9">
        <v>1848</v>
      </c>
      <c r="B9">
        <v>1</v>
      </c>
      <c r="C9">
        <v>840</v>
      </c>
      <c r="D9">
        <f t="shared" si="0"/>
        <v>1340</v>
      </c>
      <c r="E9">
        <f>SUM($C$3:C9)</f>
        <v>6600</v>
      </c>
      <c r="F9">
        <f t="shared" si="1"/>
        <v>-37.31</v>
      </c>
      <c r="G9" t="str" cm="1">
        <f t="array" ref="G9">_xlfn.IFS(AND(A9&gt;=1837,A9&lt;=1849),"Founding Decade",AND(A9&gt;=1850,A9&lt;=1859),"Consolidation",AND(A9&gt;=1860,A9&lt;=1869),"Expansion",AND(A9&gt;=1870,A9&lt;=1880),"Maturity")</f>
        <v>Founding Decade</v>
      </c>
      <c r="H9" s="23"/>
    </row>
    <row r="10" spans="1:8" x14ac:dyDescent="0.3">
      <c r="A10">
        <v>1849</v>
      </c>
      <c r="B10">
        <v>1</v>
      </c>
      <c r="C10">
        <v>1620</v>
      </c>
      <c r="D10">
        <f t="shared" si="0"/>
        <v>840</v>
      </c>
      <c r="E10">
        <f>SUM($C$3:C10)</f>
        <v>8220</v>
      </c>
      <c r="F10">
        <f t="shared" si="1"/>
        <v>92.86</v>
      </c>
      <c r="G10" t="str" cm="1">
        <f t="array" ref="G10">_xlfn.IFS(AND(A10&gt;=1837,A10&lt;=1849),"Founding Decade",AND(A10&gt;=1850,A10&lt;=1859),"Consolidation",AND(A10&gt;=1860,A10&lt;=1869),"Expansion",AND(A10&gt;=1870,A10&lt;=1880),"Maturity")</f>
        <v>Founding Decade</v>
      </c>
      <c r="H10" s="23"/>
    </row>
    <row r="11" spans="1:8" x14ac:dyDescent="0.3">
      <c r="A11">
        <v>1851</v>
      </c>
      <c r="B11">
        <v>1</v>
      </c>
      <c r="C11">
        <v>720</v>
      </c>
      <c r="D11">
        <f t="shared" si="0"/>
        <v>1620</v>
      </c>
      <c r="E11">
        <f>SUM($C$3:C11)</f>
        <v>8940</v>
      </c>
      <c r="F11">
        <f t="shared" si="1"/>
        <v>-55.56</v>
      </c>
      <c r="G11" t="str" cm="1">
        <f t="array" ref="G11">_xlfn.IFS(AND(A11&gt;=1837,A11&lt;=1849),"Founding Decade",AND(A11&gt;=1850,A11&lt;=1859),"Consolidation",AND(A11&gt;=1860,A11&lt;=1869),"Expansion",AND(A11&gt;=1870,A11&lt;=1880),"Maturity")</f>
        <v>Consolidation</v>
      </c>
      <c r="H11" s="23"/>
    </row>
    <row r="12" spans="1:8" x14ac:dyDescent="0.3">
      <c r="A12">
        <v>1852</v>
      </c>
      <c r="B12">
        <v>1</v>
      </c>
      <c r="C12">
        <v>920</v>
      </c>
      <c r="D12">
        <f t="shared" si="0"/>
        <v>720</v>
      </c>
      <c r="E12">
        <f>SUM($C$3:C12)</f>
        <v>9860</v>
      </c>
      <c r="F12">
        <f t="shared" si="1"/>
        <v>27.78</v>
      </c>
      <c r="G12" t="str" cm="1">
        <f t="array" ref="G12">_xlfn.IFS(AND(A12&gt;=1837,A12&lt;=1849),"Founding Decade",AND(A12&gt;=1850,A12&lt;=1859),"Consolidation",AND(A12&gt;=1860,A12&lt;=1869),"Expansion",AND(A12&gt;=1870,A12&lt;=1880),"Maturity")</f>
        <v>Consolidation</v>
      </c>
      <c r="H12" s="23"/>
    </row>
    <row r="13" spans="1:8" x14ac:dyDescent="0.3">
      <c r="A13">
        <v>1853</v>
      </c>
      <c r="B13">
        <v>1</v>
      </c>
      <c r="C13">
        <v>580</v>
      </c>
      <c r="D13">
        <f t="shared" si="0"/>
        <v>920</v>
      </c>
      <c r="E13">
        <f>SUM($C$3:C13)</f>
        <v>10440</v>
      </c>
      <c r="F13">
        <f t="shared" si="1"/>
        <v>-36.96</v>
      </c>
      <c r="G13" t="str" cm="1">
        <f t="array" ref="G13">_xlfn.IFS(AND(A13&gt;=1837,A13&lt;=1849),"Founding Decade",AND(A13&gt;=1850,A13&lt;=1859),"Consolidation",AND(A13&gt;=1860,A13&lt;=1869),"Expansion",AND(A13&gt;=1870,A13&lt;=1880),"Maturity")</f>
        <v>Consolidation</v>
      </c>
      <c r="H13" s="23"/>
    </row>
    <row r="14" spans="1:8" x14ac:dyDescent="0.3">
      <c r="A14">
        <v>1855</v>
      </c>
      <c r="B14">
        <v>1</v>
      </c>
      <c r="C14">
        <v>310</v>
      </c>
      <c r="D14">
        <f t="shared" si="0"/>
        <v>580</v>
      </c>
      <c r="E14">
        <f>SUM($C$3:C14)</f>
        <v>10750</v>
      </c>
      <c r="F14">
        <f t="shared" si="1"/>
        <v>-46.55</v>
      </c>
      <c r="G14" t="str" cm="1">
        <f t="array" ref="G14">_xlfn.IFS(AND(A14&gt;=1837,A14&lt;=1849),"Founding Decade",AND(A14&gt;=1850,A14&lt;=1859),"Consolidation",AND(A14&gt;=1860,A14&lt;=1869),"Expansion",AND(A14&gt;=1870,A14&lt;=1880),"Maturity")</f>
        <v>Consolidation</v>
      </c>
      <c r="H14" s="23"/>
    </row>
    <row r="15" spans="1:8" x14ac:dyDescent="0.3">
      <c r="A15">
        <v>1856</v>
      </c>
      <c r="B15">
        <v>1</v>
      </c>
      <c r="C15">
        <v>2200</v>
      </c>
      <c r="D15">
        <f t="shared" si="0"/>
        <v>310</v>
      </c>
      <c r="E15">
        <f>SUM($C$3:C15)</f>
        <v>12950</v>
      </c>
      <c r="F15">
        <f t="shared" si="1"/>
        <v>609.67999999999995</v>
      </c>
      <c r="G15" t="str" cm="1">
        <f t="array" ref="G15">_xlfn.IFS(AND(A15&gt;=1837,A15&lt;=1849),"Founding Decade",AND(A15&gt;=1850,A15&lt;=1859),"Consolidation",AND(A15&gt;=1860,A15&lt;=1869),"Expansion",AND(A15&gt;=1870,A15&lt;=1880),"Maturity")</f>
        <v>Consolidation</v>
      </c>
      <c r="H15" s="23"/>
    </row>
    <row r="16" spans="1:8" x14ac:dyDescent="0.3">
      <c r="A16">
        <v>1858</v>
      </c>
      <c r="B16">
        <v>2</v>
      </c>
      <c r="C16">
        <v>840</v>
      </c>
      <c r="D16">
        <f t="shared" si="0"/>
        <v>2200</v>
      </c>
      <c r="E16">
        <f>SUM($C$3:C16)</f>
        <v>13790</v>
      </c>
      <c r="F16">
        <f t="shared" si="1"/>
        <v>-61.82</v>
      </c>
      <c r="G16" t="str" cm="1">
        <f t="array" ref="G16">_xlfn.IFS(AND(A16&gt;=1837,A16&lt;=1849),"Founding Decade",AND(A16&gt;=1850,A16&lt;=1859),"Consolidation",AND(A16&gt;=1860,A16&lt;=1869),"Expansion",AND(A16&gt;=1870,A16&lt;=1880),"Maturity")</f>
        <v>Consolidation</v>
      </c>
      <c r="H16" s="23"/>
    </row>
    <row r="17" spans="1:8" x14ac:dyDescent="0.3">
      <c r="A17">
        <v>1860</v>
      </c>
      <c r="B17">
        <v>1</v>
      </c>
      <c r="C17">
        <v>880</v>
      </c>
      <c r="D17">
        <f t="shared" si="0"/>
        <v>840</v>
      </c>
      <c r="E17">
        <f>SUM($C$3:C17)</f>
        <v>14670</v>
      </c>
      <c r="F17">
        <f t="shared" si="1"/>
        <v>4.76</v>
      </c>
      <c r="G17" t="str" cm="1">
        <f t="array" ref="G17">_xlfn.IFS(AND(A17&gt;=1837,A17&lt;=1849),"Founding Decade",AND(A17&gt;=1850,A17&lt;=1859),"Consolidation",AND(A17&gt;=1860,A17&lt;=1869),"Expansion",AND(A17&gt;=1870,A17&lt;=1880),"Maturity")</f>
        <v>Expansion</v>
      </c>
      <c r="H17" s="23"/>
    </row>
    <row r="18" spans="1:8" x14ac:dyDescent="0.3">
      <c r="A18">
        <v>1862</v>
      </c>
      <c r="B18">
        <v>1</v>
      </c>
      <c r="C18">
        <v>2850</v>
      </c>
      <c r="D18">
        <f t="shared" si="0"/>
        <v>880</v>
      </c>
      <c r="E18">
        <f>SUM($C$3:C18)</f>
        <v>17520</v>
      </c>
      <c r="F18">
        <f t="shared" si="1"/>
        <v>223.86</v>
      </c>
      <c r="G18" t="str" cm="1">
        <f t="array" ref="G18">_xlfn.IFS(AND(A18&gt;=1837,A18&lt;=1849),"Founding Decade",AND(A18&gt;=1850,A18&lt;=1859),"Consolidation",AND(A18&gt;=1860,A18&lt;=1869),"Expansion",AND(A18&gt;=1870,A18&lt;=1880),"Maturity")</f>
        <v>Expansion</v>
      </c>
      <c r="H18" s="23"/>
    </row>
    <row r="19" spans="1:8" x14ac:dyDescent="0.3">
      <c r="A19">
        <v>1863</v>
      </c>
      <c r="B19">
        <v>1</v>
      </c>
      <c r="C19">
        <v>2100</v>
      </c>
      <c r="D19">
        <f t="shared" si="0"/>
        <v>2850</v>
      </c>
      <c r="E19">
        <f>SUM($C$3:C19)</f>
        <v>19620</v>
      </c>
      <c r="F19">
        <f t="shared" si="1"/>
        <v>-26.32</v>
      </c>
      <c r="G19" t="str" cm="1">
        <f t="array" ref="G19">_xlfn.IFS(AND(A19&gt;=1837,A19&lt;=1849),"Founding Decade",AND(A19&gt;=1850,A19&lt;=1859),"Consolidation",AND(A19&gt;=1860,A19&lt;=1869),"Expansion",AND(A19&gt;=1870,A19&lt;=1880),"Maturity")</f>
        <v>Expansion</v>
      </c>
      <c r="H19" s="23"/>
    </row>
    <row r="20" spans="1:8" x14ac:dyDescent="0.3">
      <c r="A20">
        <v>1864</v>
      </c>
      <c r="B20">
        <v>1</v>
      </c>
      <c r="C20">
        <v>560</v>
      </c>
      <c r="D20">
        <f t="shared" si="0"/>
        <v>2100</v>
      </c>
      <c r="E20">
        <f>SUM($C$3:C20)</f>
        <v>20180</v>
      </c>
      <c r="F20">
        <f t="shared" si="1"/>
        <v>-73.33</v>
      </c>
      <c r="G20" t="str" cm="1">
        <f t="array" ref="G20">_xlfn.IFS(AND(A20&gt;=1837,A20&lt;=1849),"Founding Decade",AND(A20&gt;=1850,A20&lt;=1859),"Consolidation",AND(A20&gt;=1860,A20&lt;=1869),"Expansion",AND(A20&gt;=1870,A20&lt;=1880),"Maturity")</f>
        <v>Expansion</v>
      </c>
      <c r="H20" s="23"/>
    </row>
    <row r="21" spans="1:8" x14ac:dyDescent="0.3">
      <c r="A21">
        <v>1865</v>
      </c>
      <c r="B21">
        <v>1</v>
      </c>
      <c r="C21">
        <v>1400</v>
      </c>
      <c r="D21">
        <f t="shared" si="0"/>
        <v>560</v>
      </c>
      <c r="E21">
        <f>SUM($C$3:C21)</f>
        <v>21580</v>
      </c>
      <c r="F21">
        <f t="shared" si="1"/>
        <v>150</v>
      </c>
      <c r="G21" t="str" cm="1">
        <f t="array" ref="G21">_xlfn.IFS(AND(A21&gt;=1837,A21&lt;=1849),"Founding Decade",AND(A21&gt;=1850,A21&lt;=1859),"Consolidation",AND(A21&gt;=1860,A21&lt;=1869),"Expansion",AND(A21&gt;=1870,A21&lt;=1880),"Maturity")</f>
        <v>Expansion</v>
      </c>
      <c r="H21" s="23"/>
    </row>
    <row r="22" spans="1:8" x14ac:dyDescent="0.3">
      <c r="A22">
        <v>1866</v>
      </c>
      <c r="B22">
        <v>1</v>
      </c>
      <c r="C22">
        <v>810</v>
      </c>
      <c r="D22">
        <f t="shared" si="0"/>
        <v>1400</v>
      </c>
      <c r="E22">
        <f>SUM($C$3:C22)</f>
        <v>22390</v>
      </c>
      <c r="F22">
        <f t="shared" si="1"/>
        <v>-42.14</v>
      </c>
      <c r="G22" t="str" cm="1">
        <f t="array" ref="G22">_xlfn.IFS(AND(A22&gt;=1837,A22&lt;=1849),"Founding Decade",AND(A22&gt;=1850,A22&lt;=1859),"Consolidation",AND(A22&gt;=1860,A22&lt;=1869),"Expansion",AND(A22&gt;=1870,A22&lt;=1880),"Maturity")</f>
        <v>Expansion</v>
      </c>
      <c r="H22" s="23"/>
    </row>
    <row r="23" spans="1:8" x14ac:dyDescent="0.3">
      <c r="A23">
        <v>1868</v>
      </c>
      <c r="B23">
        <v>1</v>
      </c>
      <c r="C23">
        <v>1780</v>
      </c>
      <c r="D23">
        <f t="shared" si="0"/>
        <v>810</v>
      </c>
      <c r="E23">
        <f>SUM($C$3:C23)</f>
        <v>24170</v>
      </c>
      <c r="F23">
        <f t="shared" si="1"/>
        <v>119.75</v>
      </c>
      <c r="G23" t="str" cm="1">
        <f t="array" ref="G23">_xlfn.IFS(AND(A23&gt;=1837,A23&lt;=1849),"Founding Decade",AND(A23&gt;=1850,A23&lt;=1859),"Consolidation",AND(A23&gt;=1860,A23&lt;=1869),"Expansion",AND(A23&gt;=1870,A23&lt;=1880),"Maturity")</f>
        <v>Expansion</v>
      </c>
      <c r="H23" s="23"/>
    </row>
    <row r="24" spans="1:8" x14ac:dyDescent="0.3">
      <c r="A24">
        <v>1869</v>
      </c>
      <c r="B24">
        <v>1</v>
      </c>
      <c r="C24">
        <v>2650</v>
      </c>
      <c r="D24">
        <f t="shared" si="0"/>
        <v>1780</v>
      </c>
      <c r="E24">
        <f>SUM($C$3:C24)</f>
        <v>26820</v>
      </c>
      <c r="F24">
        <f t="shared" si="1"/>
        <v>48.88</v>
      </c>
      <c r="G24" t="str" cm="1">
        <f t="array" ref="G24">_xlfn.IFS(AND(A24&gt;=1837,A24&lt;=1849),"Founding Decade",AND(A24&gt;=1850,A24&lt;=1859),"Consolidation",AND(A24&gt;=1860,A24&lt;=1869),"Expansion",AND(A24&gt;=1870,A24&lt;=1880),"Maturity")</f>
        <v>Expansion</v>
      </c>
      <c r="H24" s="23"/>
    </row>
    <row r="25" spans="1:8" x14ac:dyDescent="0.3">
      <c r="A25">
        <v>1870</v>
      </c>
      <c r="B25">
        <v>1</v>
      </c>
      <c r="C25">
        <v>360</v>
      </c>
      <c r="D25">
        <f t="shared" si="0"/>
        <v>2650</v>
      </c>
      <c r="E25">
        <f>SUM($C$3:C25)</f>
        <v>27180</v>
      </c>
      <c r="F25">
        <f t="shared" si="1"/>
        <v>-86.42</v>
      </c>
      <c r="G25" t="str" cm="1">
        <f t="array" ref="G25">_xlfn.IFS(AND(A25&gt;=1837,A25&lt;=1849),"Founding Decade",AND(A25&gt;=1850,A25&lt;=1859),"Consolidation",AND(A25&gt;=1860,A25&lt;=1869),"Expansion",AND(A25&gt;=1870,A25&lt;=1880),"Maturity")</f>
        <v>Maturity</v>
      </c>
      <c r="H25" s="23"/>
    </row>
    <row r="26" spans="1:8" x14ac:dyDescent="0.3">
      <c r="A26">
        <v>1871</v>
      </c>
      <c r="B26">
        <v>1</v>
      </c>
      <c r="C26">
        <v>680</v>
      </c>
      <c r="D26">
        <f t="shared" si="0"/>
        <v>360</v>
      </c>
      <c r="E26">
        <f>SUM($C$3:C26)</f>
        <v>27860</v>
      </c>
      <c r="F26">
        <f t="shared" si="1"/>
        <v>88.89</v>
      </c>
      <c r="G26" t="str" cm="1">
        <f t="array" ref="G26">_xlfn.IFS(AND(A26&gt;=1837,A26&lt;=1849),"Founding Decade",AND(A26&gt;=1850,A26&lt;=1859),"Consolidation",AND(A26&gt;=1860,A26&lt;=1869),"Expansion",AND(A26&gt;=1870,A26&lt;=1880),"Maturity")</f>
        <v>Maturity</v>
      </c>
      <c r="H26" s="23"/>
    </row>
    <row r="27" spans="1:8" x14ac:dyDescent="0.3">
      <c r="A27">
        <v>1872</v>
      </c>
      <c r="B27">
        <v>1</v>
      </c>
      <c r="C27">
        <v>1100</v>
      </c>
      <c r="D27">
        <f t="shared" si="0"/>
        <v>680</v>
      </c>
      <c r="E27">
        <f>SUM($C$3:C27)</f>
        <v>28960</v>
      </c>
      <c r="F27">
        <f t="shared" si="1"/>
        <v>61.76</v>
      </c>
      <c r="G27" t="str" cm="1">
        <f t="array" ref="G27">_xlfn.IFS(AND(A27&gt;=1837,A27&lt;=1849),"Founding Decade",AND(A27&gt;=1850,A27&lt;=1859),"Consolidation",AND(A27&gt;=1860,A27&lt;=1869),"Expansion",AND(A27&gt;=1870,A27&lt;=1880),"Maturity")</f>
        <v>Maturity</v>
      </c>
      <c r="H27" s="23"/>
    </row>
    <row r="28" spans="1:8" x14ac:dyDescent="0.3">
      <c r="A28">
        <v>1874</v>
      </c>
      <c r="B28">
        <v>1</v>
      </c>
      <c r="C28">
        <v>285</v>
      </c>
      <c r="D28">
        <f t="shared" si="0"/>
        <v>1100</v>
      </c>
      <c r="E28">
        <f>SUM($C$3:C28)</f>
        <v>29245</v>
      </c>
      <c r="F28">
        <f t="shared" si="1"/>
        <v>-74.09</v>
      </c>
      <c r="G28" t="str" cm="1">
        <f t="array" ref="G28">_xlfn.IFS(AND(A28&gt;=1837,A28&lt;=1849),"Founding Decade",AND(A28&gt;=1850,A28&lt;=1859),"Consolidation",AND(A28&gt;=1860,A28&lt;=1869),"Expansion",AND(A28&gt;=1870,A28&lt;=1880),"Maturity")</f>
        <v>Maturity</v>
      </c>
      <c r="H28" s="23"/>
    </row>
    <row r="29" spans="1:8" x14ac:dyDescent="0.3">
      <c r="A29">
        <v>1875</v>
      </c>
      <c r="B29">
        <v>1</v>
      </c>
      <c r="C29">
        <v>540</v>
      </c>
      <c r="D29">
        <f t="shared" si="0"/>
        <v>285</v>
      </c>
      <c r="E29">
        <f>SUM($C$3:C29)</f>
        <v>29785</v>
      </c>
      <c r="F29">
        <f t="shared" si="1"/>
        <v>89.47</v>
      </c>
      <c r="G29" t="str" cm="1">
        <f t="array" ref="G29">_xlfn.IFS(AND(A29&gt;=1837,A29&lt;=1849),"Founding Decade",AND(A29&gt;=1850,A29&lt;=1859),"Consolidation",AND(A29&gt;=1860,A29&lt;=1869),"Expansion",AND(A29&gt;=1870,A29&lt;=1880),"Maturity")</f>
        <v>Maturity</v>
      </c>
      <c r="H29" s="23"/>
    </row>
    <row r="30" spans="1:8" x14ac:dyDescent="0.3">
      <c r="A30">
        <v>1877</v>
      </c>
      <c r="B30">
        <v>1</v>
      </c>
      <c r="C30">
        <v>900</v>
      </c>
      <c r="D30">
        <f t="shared" si="0"/>
        <v>540</v>
      </c>
      <c r="E30">
        <f>SUM($C$3:C30)</f>
        <v>30685</v>
      </c>
      <c r="F30">
        <f t="shared" si="1"/>
        <v>66.67</v>
      </c>
      <c r="G30" t="str" cm="1">
        <f t="array" ref="G30">_xlfn.IFS(AND(A30&gt;=1837,A30&lt;=1849),"Founding Decade",AND(A30&gt;=1850,A30&lt;=1859),"Consolidation",AND(A30&gt;=1860,A30&lt;=1869),"Expansion",AND(A30&gt;=1870,A30&lt;=1880),"Maturity")</f>
        <v>Maturity</v>
      </c>
      <c r="H30" s="23"/>
    </row>
    <row r="31" spans="1:8" x14ac:dyDescent="0.3">
      <c r="A31">
        <v>1879</v>
      </c>
      <c r="B31">
        <v>1</v>
      </c>
      <c r="C31">
        <v>320</v>
      </c>
      <c r="D31">
        <f t="shared" si="0"/>
        <v>900</v>
      </c>
      <c r="E31">
        <f>SUM($C$3:C31)</f>
        <v>31005</v>
      </c>
      <c r="F31">
        <f t="shared" si="1"/>
        <v>-64.44</v>
      </c>
      <c r="G31" t="str" cm="1">
        <f t="array" ref="G31">_xlfn.IFS(AND(A31&gt;=1837,A31&lt;=1849),"Founding Decade",AND(A31&gt;=1850,A31&lt;=1859),"Consolidation",AND(A31&gt;=1860,A31&lt;=1869),"Expansion",AND(A31&gt;=1870,A31&lt;=1880),"Maturity")</f>
        <v>Maturity</v>
      </c>
      <c r="H31" s="23"/>
    </row>
  </sheetData>
  <mergeCells count="1">
    <mergeCell ref="H3:H3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17FB631-EA07-411A-9948-F1B0955D795F}">
          <x14:colorSeries rgb="FFD85A3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'IV – Revenue &amp; Growth'!$C$3:$C$31</xm:f>
              <xm:sqref>H3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 – Executive Summary</vt:lpstr>
      <vt:lpstr>I – Client Intelligence</vt:lpstr>
      <vt:lpstr>II – Craftsman Output</vt:lpstr>
      <vt:lpstr>III – Margin Analysis</vt:lpstr>
      <vt:lpstr>IV – Revenue &amp; Growth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Mikal Brisbon</dc:creator>
  <cp:lastModifiedBy>Mikal Brisbon</cp:lastModifiedBy>
  <dcterms:created xsi:type="dcterms:W3CDTF">2026-05-01T11:02:32Z</dcterms:created>
  <dcterms:modified xsi:type="dcterms:W3CDTF">2026-05-04T16:29:33Z</dcterms:modified>
</cp:coreProperties>
</file>